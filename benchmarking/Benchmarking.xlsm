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bre-my.sharepoint.com/personal/cristian_buse_cbre_com/Documents/Library/VBA/_GitHub/VBA-FastDictionary/benchmarking/"/>
    </mc:Choice>
  </mc:AlternateContent>
  <xr:revisionPtr revIDLastSave="8350" documentId="8_{4FDBB160-9095-448C-91F3-4879DF303AD4}" xr6:coauthVersionLast="47" xr6:coauthVersionMax="47" xr10:uidLastSave="{24A1A1F4-E390-4415-ADB2-97814CEE5FB3}"/>
  <bookViews>
    <workbookView xWindow="28680" yWindow="-120" windowWidth="29040" windowHeight="15840" tabRatio="706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"Mixed (binary compare)"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x32"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2" l="1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/>
  <c r="J23" i="13" a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/>
  <c r="J15" i="13" a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/>
  <c r="J7" i="13" a="1"/>
  <c r="J6" i="13" a="1"/>
  <c r="J6" i="13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/>
  <c r="J23" i="16" a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/>
  <c r="J15" i="16" a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29" i="18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/>
  <c r="J23" i="18" a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/>
  <c r="J15" i="18" a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5" i="17" a="1"/>
  <c r="J5" i="17" s="1"/>
  <c r="J5" i="16" a="1"/>
  <c r="J5" i="16" s="1"/>
  <c r="J5" i="15" a="1"/>
  <c r="J5" i="15" s="1"/>
  <c r="J5" i="14" a="1"/>
  <c r="J5" i="14" s="1"/>
  <c r="J5" i="13" a="1"/>
  <c r="J5" i="13" s="1"/>
  <c r="J5" i="12" a="1"/>
  <c r="J5" i="12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7" i="4" a="1"/>
  <c r="K7" i="4" s="1"/>
  <c r="K6" i="4" a="1"/>
  <c r="K6" i="4" s="1"/>
  <c r="K5" i="4" a="1"/>
  <c r="K5" i="4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<sst xmlns="http://schemas.openxmlformats.org/spreadsheetml/2006/main" count="790" uniqueCount="29">
  <si>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</si>
  <si>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</si>
  <si>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</si>
  <si>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</si>
  <si>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</si>
  <si>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</si>
  <si>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</si>
  <si>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</si>
  <si>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</si>
  <si>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</si>
  <si>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</si>
  <si>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</si>
  <si>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</si>
  <si>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</si>
  <si>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</si>
  <si>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</si>
  <si>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</si>
  <si>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</si>
  <si>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</si>
  <si>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</si>
  <si>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</si>
  <si>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Please note Collection does support For Each but not for Keys</t>
  </si>
  <si>
    <t>VB Info:</t>
  </si>
  <si>
    <t>Key Type:</t>
  </si>
  <si>
    <t>Dictionary (50% load)</t>
  </si>
  <si>
    <t>Press Alt+F8 to bring up the Macros dialog to run bench tests</t>
  </si>
  <si>
    <t>not supported</t>
  </si>
  <si>
    <t>Add' too slow</t>
  </si>
  <si>
    <t>out of 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</si>
</sst>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5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0</xdr:rowOff>
        </xdr:to>
        <xdr:pic>
          <xdr:nvPicPr>
            <xdr:cNvPr id="29428" name="add">
              <a:extLst>
                <a:ext uri="{FF2B5EF4-FFF2-40B4-BE49-F238E27FC236}">
                  <a16:creationId xmlns:a16="http://schemas.microsoft.com/office/drawing/2014/main" id="{00000000-0008-0000-0800-0000F4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295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190500</xdr:rowOff>
        </xdr:to>
        <xdr:pic>
          <xdr:nvPicPr>
            <xdr:cNvPr id="29429" name="exists(true)">
              <a:extLst>
                <a:ext uri="{FF2B5EF4-FFF2-40B4-BE49-F238E27FC236}">
                  <a16:creationId xmlns:a16="http://schemas.microsoft.com/office/drawing/2014/main" id="{00000000-0008-0000-0800-0000F5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2954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190500</xdr:rowOff>
        </xdr:to>
        <xdr:pic>
          <xdr:nvPicPr>
            <xdr:cNvPr id="29430" name="exists(false)">
              <a:extLst>
                <a:ext uri="{FF2B5EF4-FFF2-40B4-BE49-F238E27FC236}">
                  <a16:creationId xmlns:a16="http://schemas.microsoft.com/office/drawing/2014/main" id="{00000000-0008-0000-0800-0000F6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2954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190500</xdr:rowOff>
        </xdr:to>
        <xdr:pic>
          <xdr:nvPicPr>
            <xdr:cNvPr id="29431" name="item(get)">
              <a:extLst>
                <a:ext uri="{FF2B5EF4-FFF2-40B4-BE49-F238E27FC236}">
                  <a16:creationId xmlns:a16="http://schemas.microsoft.com/office/drawing/2014/main" id="{00000000-0008-0000-0800-0000F7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2954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190500</xdr:rowOff>
        </xdr:to>
        <xdr:pic>
          <xdr:nvPicPr>
            <xdr:cNvPr id="29432" name="item(let)">
              <a:extLst>
                <a:ext uri="{FF2B5EF4-FFF2-40B4-BE49-F238E27FC236}">
                  <a16:creationId xmlns:a16="http://schemas.microsoft.com/office/drawing/2014/main" id="{00000000-0008-0000-0800-0000F8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29544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4592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190500</xdr:rowOff>
        </xdr:to>
        <xdr:pic>
          <xdr:nvPicPr>
            <xdr:cNvPr id="29433" name="key(let)">
              <a:extLst>
                <a:ext uri="{FF2B5EF4-FFF2-40B4-BE49-F238E27FC236}">
                  <a16:creationId xmlns:a16="http://schemas.microsoft.com/office/drawing/2014/main" id="{00000000-0008-0000-0800-0000F9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29545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936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190500</xdr:rowOff>
        </xdr:to>
        <xdr:pic>
          <xdr:nvPicPr>
            <xdr:cNvPr id="29434" name="forEach">
              <a:extLst>
                <a:ext uri="{FF2B5EF4-FFF2-40B4-BE49-F238E27FC236}">
                  <a16:creationId xmlns:a16="http://schemas.microsoft.com/office/drawing/2014/main" id="{00000000-0008-0000-0800-0000FA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2954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4592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190500</xdr:rowOff>
        </xdr:to>
        <xdr:pic>
          <xdr:nvPicPr>
            <xdr:cNvPr id="29435" name="remove">
              <a:extLst>
                <a:ext uri="{FF2B5EF4-FFF2-40B4-BE49-F238E27FC236}">
                  <a16:creationId xmlns:a16="http://schemas.microsoft.com/office/drawing/2014/main" id="{00000000-0008-0000-0800-0000FB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29547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9936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23</v>
      </c>
      <c r="C1" t="str">
        <f>KeyType</f>
        <v>Mixed (binary compare)</v>
      </c>
    </row>
    <row r="2" spans="1:20" x14ac:dyDescent="0.25">
      <c r="B2" t="s">
        <v>22</v>
      </c>
      <c r="C2" t="str">
        <f>VBInfo</f>
        <v>Win VBA7 x32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>
        <v>1</v>
      </c>
      <c r="C5" s="4">
        <v>1138</v>
      </c>
      <c r="D5" s="6">
        <v>34</v>
      </c>
      <c r="E5" s="3">
        <v>35</v>
      </c>
      <c r="F5" s="3">
        <v>882</v>
      </c>
      <c r="G5" s="3">
        <v>87</v>
      </c>
      <c r="H5" s="3">
        <v>34</v>
      </c>
      <c r="I5" s="3">
        <v>22</v>
      </c>
      <c r="J5" s="3">
        <v>335</v>
      </c>
      <c r="K5" s="5" t="str" cm="1">
        <f t="array" ref="K5">IFERROR(TRIM(INDEX(C$4:J$4,MATCH(MIN(IFERROR(C5:J5,"")),C5:J5,0))),"n/a")</f>
        <v>Dictionary (50% load) with rehash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>
        <v>2</v>
      </c>
      <c r="C6" s="4">
        <v>2374</v>
      </c>
      <c r="D6" s="6">
        <v>97</v>
      </c>
      <c r="E6" s="3">
        <v>1250</v>
      </c>
      <c r="F6" s="3">
        <v>96</v>
      </c>
      <c r="G6" s="3">
        <v>37</v>
      </c>
      <c r="H6" s="3">
        <v>36</v>
      </c>
      <c r="I6" s="3">
        <v>35</v>
      </c>
      <c r="J6" s="3">
        <v>39</v>
      </c>
      <c r="K6" s="5" t="str" cm="1">
        <f t="array" ref="K6">IFERROR(TRIM(INDEX(C$4:J$4,MATCH(MIN(IFERROR(C6:J6,"")),C6:J6,0))),"n/a")</f>
        <v>Dictionary (50% load) with rehash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>
        <v>4</v>
      </c>
      <c r="C7" s="4">
        <v>2160</v>
      </c>
      <c r="D7" s="6">
        <v>77</v>
      </c>
      <c r="E7" s="3">
        <v>1490</v>
      </c>
      <c r="F7" s="3">
        <v>252</v>
      </c>
      <c r="G7" s="3">
        <v>43</v>
      </c>
      <c r="H7" s="3">
        <v>51</v>
      </c>
      <c r="I7" s="3">
        <v>71</v>
      </c>
      <c r="J7" s="3">
        <v>57</v>
      </c>
      <c r="K7" s="5" t="str" cm="1">
        <f t="array" ref="K7">IFERROR(TRIM(INDEX(C$4:J$4,MATCH(MIN(IFERROR(C7:J7,"")),C7:J7,0))),"n/a")</f>
        <v>cHashD
(predict 10% load)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>
        <v>8</v>
      </c>
      <c r="C8" s="4">
        <v>2082</v>
      </c>
      <c r="D8" s="6">
        <v>29</v>
      </c>
      <c r="E8" s="3">
        <v>1644</v>
      </c>
      <c r="F8" s="3">
        <v>62</v>
      </c>
      <c r="G8" s="3">
        <v>41</v>
      </c>
      <c r="H8" s="3">
        <v>44</v>
      </c>
      <c r="I8" s="3">
        <v>66</v>
      </c>
      <c r="J8" s="3">
        <v>46</v>
      </c>
      <c r="K8" s="5" t="str" cm="1">
        <f t="array" ref="K8">IFERROR(TRIM(INDEX(C$4:J$4,MATCH(MIN(IFERROR(C8:J8,"")),C8:J8,0))),"n/a")</f>
        <v>VBA Collection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>
        <v>16</v>
      </c>
      <c r="C9" s="4">
        <v>2399</v>
      </c>
      <c r="D9" s="6">
        <v>72</v>
      </c>
      <c r="E9" s="3">
        <v>1194</v>
      </c>
      <c r="F9" s="3">
        <v>63</v>
      </c>
      <c r="G9" s="3">
        <v>56</v>
      </c>
      <c r="H9" s="3">
        <v>44</v>
      </c>
      <c r="I9" s="3">
        <v>59</v>
      </c>
      <c r="J9" s="3">
        <v>76</v>
      </c>
      <c r="K9" s="5" t="str" cm="1">
        <f t="array" ref="K9">IFERROR(TRIM(INDEX(C$4:J$4,MATCH(MIN(IFERROR(C9:J9,"")),C9:J9,0))),"n/a")</f>
        <v>cHashD
(predict 38.5% load)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>
        <v>32</v>
      </c>
      <c r="C10" s="4">
        <v>1529</v>
      </c>
      <c r="D10" s="6">
        <v>92</v>
      </c>
      <c r="E10" s="3">
        <v>34</v>
      </c>
      <c r="F10" s="3">
        <v>105</v>
      </c>
      <c r="G10" s="3">
        <v>64</v>
      </c>
      <c r="H10" s="3">
        <v>85</v>
      </c>
      <c r="I10" s="3">
        <v>75</v>
      </c>
      <c r="J10" s="3">
        <v>153</v>
      </c>
      <c r="K10" s="5" t="str" cm="1">
        <f t="array" ref="K10">IFERROR(TRIM(INDEX(C$4:J$4,MATCH(MIN(IFERROR(C10:J10,"")),C10:J10,0))),"n/a")</f>
        <v>Scripting Dictionary (early-binded)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>
        <v>64</v>
      </c>
      <c r="C11" s="4">
        <v>2600</v>
      </c>
      <c r="D11" s="6">
        <v>149</v>
      </c>
      <c r="E11" s="3">
        <v>1335</v>
      </c>
      <c r="F11" s="3">
        <v>121</v>
      </c>
      <c r="G11" s="3">
        <v>101</v>
      </c>
      <c r="H11" s="3">
        <v>98</v>
      </c>
      <c r="I11" s="3">
        <v>96</v>
      </c>
      <c r="J11" s="3">
        <v>126</v>
      </c>
      <c r="K11" s="5" t="str" cm="1">
        <f t="array" ref="K11">IFERROR(TRIM(INDEX(C$4:J$4,MATCH(MIN(IFERROR(C11:J11,"")),C11:J11,0))),"n/a")</f>
        <v>Dictionary (50% load) with rehash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>
        <v>128</v>
      </c>
      <c r="C12" s="4">
        <v>2532</v>
      </c>
      <c r="D12" s="6">
        <v>322</v>
      </c>
      <c r="E12" s="3">
        <v>133</v>
      </c>
      <c r="F12" s="3">
        <v>232</v>
      </c>
      <c r="G12" s="3">
        <v>208</v>
      </c>
      <c r="H12" s="3">
        <v>298</v>
      </c>
      <c r="I12" s="3">
        <v>177</v>
      </c>
      <c r="J12" s="3">
        <v>318</v>
      </c>
      <c r="K12" s="5" t="str" cm="1">
        <f t="array" ref="K12">IFERROR(TRIM(INDEX(C$4:J$4,MATCH(MIN(IFERROR(C12:J12,"")),C12:J12,0))),"n/a")</f>
        <v>Scripting Dictionary (early-binded)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>
        <v>256</v>
      </c>
      <c r="C13" s="4">
        <v>3151</v>
      </c>
      <c r="D13" s="6">
        <v>625</v>
      </c>
      <c r="E13" s="3">
        <v>2211</v>
      </c>
      <c r="F13" s="3">
        <v>296</v>
      </c>
      <c r="G13" s="3">
        <v>524</v>
      </c>
      <c r="H13" s="3">
        <v>432</v>
      </c>
      <c r="I13" s="3">
        <v>299</v>
      </c>
      <c r="J13" s="3">
        <v>597</v>
      </c>
      <c r="K13" s="5" t="str" cm="1">
        <f t="array" ref="K13">IFERROR(TRIM(INDEX(C$4:J$4,MATCH(MIN(IFERROR(C13:J13,"")),C13:J13,0))),"n/a")</f>
        <v>cHashD (16384)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>
        <v>512</v>
      </c>
      <c r="C14" s="4">
        <v>2841</v>
      </c>
      <c r="D14" s="6">
        <v>1537</v>
      </c>
      <c r="E14" s="3">
        <v>576</v>
      </c>
      <c r="F14" s="3">
        <v>515</v>
      </c>
      <c r="G14" s="3">
        <v>504</v>
      </c>
      <c r="H14" s="3">
        <v>642</v>
      </c>
      <c r="I14" s="3">
        <v>542</v>
      </c>
      <c r="J14" s="3">
        <v>522</v>
      </c>
      <c r="K14" s="5" t="str" cm="1">
        <f t="array" ref="K14">IFERROR(TRIM(INDEX(C$4:J$4,MATCH(MIN(IFERROR(C14:J14,"")),C14:J14,0))),"n/a")</f>
        <v>cHashD
(predict 10% load)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>
        <v>1024</v>
      </c>
      <c r="C15" s="4">
        <v>5044</v>
      </c>
      <c r="D15" s="6">
        <v>2756</v>
      </c>
      <c r="E15" s="3">
        <v>1167</v>
      </c>
      <c r="F15" s="3">
        <v>1106</v>
      </c>
      <c r="G15" s="3">
        <v>1022</v>
      </c>
      <c r="H15" s="3">
        <v>1060</v>
      </c>
      <c r="I15" s="3">
        <v>1256</v>
      </c>
      <c r="J15" s="3">
        <v>1145</v>
      </c>
      <c r="K15" s="5" t="str" cm="1">
        <f t="array" ref="K15">IFERROR(TRIM(INDEX(C$4:J$4,MATCH(MIN(IFERROR(C15:J15,"")),C15:J15,0))),"n/a")</f>
        <v>cHashD
(predict 10% load)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>
        <v>2048</v>
      </c>
      <c r="C16" s="4">
        <v>8858</v>
      </c>
      <c r="D16" s="6">
        <v>5680</v>
      </c>
      <c r="E16" s="3">
        <v>5170</v>
      </c>
      <c r="F16" s="3">
        <v>2011</v>
      </c>
      <c r="G16" s="3">
        <v>1933</v>
      </c>
      <c r="H16" s="3">
        <v>2228</v>
      </c>
      <c r="I16" s="3">
        <v>2232</v>
      </c>
      <c r="J16" s="3">
        <v>2433</v>
      </c>
      <c r="K16" s="5" t="str" cm="1">
        <f t="array" ref="K16">IFERROR(TRIM(INDEX(C$4:J$4,MATCH(MIN(IFERROR(C16:J16,"")),C16:J16,0))),"n/a")</f>
        <v>cHashD
(predict 10% load)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>
        <v>4096</v>
      </c>
      <c r="C17" s="4">
        <v>22664</v>
      </c>
      <c r="D17" s="6">
        <v>12606</v>
      </c>
      <c r="E17" s="3">
        <v>15652</v>
      </c>
      <c r="F17" s="3">
        <v>4238</v>
      </c>
      <c r="G17" s="3">
        <v>3614</v>
      </c>
      <c r="H17" s="3">
        <v>4346</v>
      </c>
      <c r="I17" s="3">
        <v>4833</v>
      </c>
      <c r="J17" s="3">
        <v>4022</v>
      </c>
      <c r="K17" s="5" t="str" cm="1">
        <f t="array" ref="K17">IFERROR(TRIM(INDEX(C$4:J$4,MATCH(MIN(IFERROR(C17:J17,"")),C17:J17,0))),"n/a")</f>
        <v>cHashD
(predict 10% load)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>
        <v>8192</v>
      </c>
      <c r="C18" s="4">
        <v>72489</v>
      </c>
      <c r="D18" s="6">
        <v>27095</v>
      </c>
      <c r="E18" s="3">
        <v>57425</v>
      </c>
      <c r="F18" s="3">
        <v>8691</v>
      </c>
      <c r="G18" s="3">
        <v>7500</v>
      </c>
      <c r="H18" s="3">
        <v>8226</v>
      </c>
      <c r="I18" s="3">
        <v>7933</v>
      </c>
      <c r="J18" s="3">
        <v>7729</v>
      </c>
      <c r="K18" s="5" t="str" cm="1">
        <f t="array" ref="K18">IFERROR(TRIM(INDEX(C$4:J$4,MATCH(MIN(IFERROR(C18:J18,"")),C18:J18,0))),"n/a")</f>
        <v>cHashD
(predict 10% load)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>
        <v>16384</v>
      </c>
      <c r="C19" s="4">
        <v>268736</v>
      </c>
      <c r="D19" s="6">
        <v>60043</v>
      </c>
      <c r="E19" s="3">
        <v>234298</v>
      </c>
      <c r="F19" s="3">
        <v>16680</v>
      </c>
      <c r="G19" s="3">
        <v>16109</v>
      </c>
      <c r="H19" s="3">
        <v>16667</v>
      </c>
      <c r="I19" s="3">
        <v>16884</v>
      </c>
      <c r="J19" s="3">
        <v>14150</v>
      </c>
      <c r="K19" s="5" t="str" cm="1">
        <f t="array" ref="K19">IFERROR(TRIM(INDEX(C$4:J$4,MATCH(MIN(IFERROR(C19:J19,"")),C19:J19,0))),"n/a")</f>
        <v>Dictionary (50% load) with predict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>
        <v>32768</v>
      </c>
      <c r="C20" s="4">
        <v>1052025</v>
      </c>
      <c r="D20" s="6">
        <v>132747</v>
      </c>
      <c r="E20" s="3">
        <v>983916</v>
      </c>
      <c r="F20" s="3">
        <v>36598</v>
      </c>
      <c r="G20" s="3">
        <v>30667</v>
      </c>
      <c r="H20" s="3">
        <v>34569</v>
      </c>
      <c r="I20" s="3">
        <v>32002</v>
      </c>
      <c r="J20" s="3">
        <v>30640</v>
      </c>
      <c r="K20" s="5" t="str" cm="1">
        <f t="array" ref="K20">IFERROR(TRIM(INDEX(C$4:J$4,MATCH(MIN(IFERROR(C20:J20,"")),C20:J20,0))),"n/a")</f>
        <v>Dictionary (50% load) with predict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>
        <v>65536</v>
      </c>
      <c r="C21" s="18">
        <v>4842421</v>
      </c>
      <c r="D21" s="6">
        <v>296840</v>
      </c>
      <c r="E21" s="19">
        <v>4088440</v>
      </c>
      <c r="F21" s="3">
        <v>95665</v>
      </c>
      <c r="G21" s="3">
        <v>64145</v>
      </c>
      <c r="H21" s="3">
        <v>74477</v>
      </c>
      <c r="I21" s="3">
        <v>64300</v>
      </c>
      <c r="J21" s="3">
        <v>60249</v>
      </c>
      <c r="K21" s="5" t="str" cm="1">
        <f t="array" ref="K21">IFERROR(TRIM(INDEX(C$4:J$4,MATCH(MIN(IFERROR(C21:J21,"")),C21:J21,0))),"n/a")</f>
        <v>Dictionary (50% load) with predict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>
        <v>131072</v>
      </c>
      <c r="C22" s="18" t="s">
        <v>27</v>
      </c>
      <c r="D22" s="6">
        <v>662650</v>
      </c>
      <c r="E22" s="19" t="s">
        <v>27</v>
      </c>
      <c r="F22" s="3">
        <v>270593</v>
      </c>
      <c r="G22" s="3">
        <v>126686</v>
      </c>
      <c r="H22" s="3">
        <v>157930</v>
      </c>
      <c r="I22" s="3">
        <v>129317</v>
      </c>
      <c r="J22" s="3">
        <v>119254</v>
      </c>
      <c r="K22" s="5" t="str" cm="1">
        <f t="array" ref="K22">IFERROR(TRIM(INDEX(C$4:J$4,MATCH(MIN(IFERROR(C22:J22,"")),C22:J22,0))),"n/a")</f>
        <v>Dictionary (50% load) with predict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>
        <v>262144</v>
      </c>
      <c r="C23" s="18" t="s">
        <v>27</v>
      </c>
      <c r="D23" s="6">
        <v>1475828</v>
      </c>
      <c r="E23" s="19" t="s">
        <v>27</v>
      </c>
      <c r="F23" s="3">
        <v>880737</v>
      </c>
      <c r="G23" s="3">
        <v>254659</v>
      </c>
      <c r="H23" s="3">
        <v>323282</v>
      </c>
      <c r="I23" s="3">
        <v>264162</v>
      </c>
      <c r="J23" s="3">
        <v>247816</v>
      </c>
      <c r="K23" s="5" t="str" cm="1">
        <f t="array" ref="K23">IFERROR(TRIM(INDEX(C$4:J$4,MATCH(MIN(IFERROR(C23:J23,"")),C23:J23,0))),"n/a")</f>
        <v>Dictionary (50% load) with predict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>
        <v>524288</v>
      </c>
      <c r="C24" s="18" t="s">
        <v>27</v>
      </c>
      <c r="D24" s="6">
        <v>3275168</v>
      </c>
      <c r="E24" s="19" t="s">
        <v>27</v>
      </c>
      <c r="F24" s="3">
        <v>3085935</v>
      </c>
      <c r="G24" s="3">
        <v>572451</v>
      </c>
      <c r="H24" s="3">
        <v>653158</v>
      </c>
      <c r="I24" s="3">
        <v>546567</v>
      </c>
      <c r="J24" s="3">
        <v>502778</v>
      </c>
      <c r="K24" s="5" t="str" cm="1">
        <f t="array" ref="K24">IFERROR(TRIM(INDEX(C$4:J$4,MATCH(MIN(IFERROR(C24:J24,"")),C24:J24,0))),"n/a")</f>
        <v>Dictionary (50% load) with predict</v>
      </c>
      <c r="M24" s="1"/>
      <c r="N24" s="1"/>
      <c r="O24" s="1"/>
      <c r="P24" s="1"/>
      <c r="Q24" s="1"/>
      <c r="R24" s="1"/>
      <c r="S24" s="1"/>
      <c r="T24" s="1"/>
    </row>
    <row r="25" spans="1:20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1485075</v>
      </c>
      <c r="H25" s="3">
        <v>1327872</v>
      </c>
      <c r="I25" s="3">
        <v>1135980</v>
      </c>
      <c r="J25" s="3">
        <v>1004493</v>
      </c>
      <c r="K25" s="5" t="str" cm="1">
        <f t="array" ref="K25">IFERROR(TRIM(INDEX(C$4:J$4,MATCH(MIN(IFERROR(C25:J25,"")),C25:J25,0))),"n/a")</f>
        <v>Dictionary (50% load) with predict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3661186</v>
      </c>
      <c r="H26" s="3">
        <v>3559314</v>
      </c>
      <c r="I26" s="3">
        <v>2326856</v>
      </c>
      <c r="J26" s="3">
        <v>2019601</v>
      </c>
      <c r="K26" s="5" t="str" cm="1">
        <f t="array" ref="K26">IFERROR(TRIM(INDEX(C$4:J$4,MATCH(MIN(IFERROR(C26:J26,"")),C26:J26,0))),"n/a")</f>
        <v>Dictionary (50% load) with predict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10909943</v>
      </c>
      <c r="H27" s="3">
        <v>10865409</v>
      </c>
      <c r="I27" s="3">
        <v>4759525</v>
      </c>
      <c r="J27" s="3">
        <v>4106873</v>
      </c>
      <c r="K27" s="5" t="str" cm="1">
        <f t="array" ref="K27">IFERROR(TRIM(INDEX(C$4:J$4,MATCH(MIN(IFERROR(C27:J27,"")),C27:J27,0))),"n/a")</f>
        <v>Dictionary (50% load) with predict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3" t="s">
        <v>28</v>
      </c>
      <c r="K28" s="5" t="str" cm="1">
        <f t="array" ref="K28">IFERROR(TRIM(INDEX(C$4:J$4,MATCH(MIN(IFERROR(C28:J28,"")),C28:J28,0))),"n/a")</f>
        <v>n/a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3" t="s">
        <v>28</v>
      </c>
      <c r="K29" s="14" t="str" cm="1">
        <f t="array" ref="K29">IFERROR(TRIM(INDEX(C$4:J$4,MATCH(MIN(IFERROR(C29:J29,"")),C29:J29,0))),"n/a")</f>
        <v>n/a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666</v>
      </c>
      <c r="D5" s="6">
        <v>10</v>
      </c>
      <c r="E5" s="3">
        <v>10</v>
      </c>
      <c r="F5" s="3">
        <v>99</v>
      </c>
      <c r="G5" s="3">
        <v>16</v>
      </c>
      <c r="H5" s="3">
        <v>5</v>
      </c>
      <c r="I5" s="3">
        <v>276</v>
      </c>
      <c r="J5" s="5" t="str" cm="1">
        <f t="array" ref="J5">IFERROR(TRIM(INDEX(C$4:I$4,MATCH(MIN(IFERROR(C5:I5,"")),C5:I5,0))),"n/a")</f>
        <v>cHashD
(predict 38.5%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39</v>
      </c>
      <c r="D6" s="6">
        <v>13</v>
      </c>
      <c r="E6" s="3">
        <v>18</v>
      </c>
      <c r="F6" s="3">
        <v>6</v>
      </c>
      <c r="G6" s="3">
        <v>8</v>
      </c>
      <c r="H6" s="3">
        <v>6</v>
      </c>
      <c r="I6" s="3">
        <v>6</v>
      </c>
      <c r="J6" s="5" t="str" cm="1">
        <f t="array" ref="J6">IFERROR(TRIM(INDEX(C$4:I$4,MATCH(MIN(IFERROR(C6:I6,"")),C6:I6,0))),"n/a")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15</v>
      </c>
      <c r="D7" s="6">
        <v>15</v>
      </c>
      <c r="E7" s="3">
        <v>12</v>
      </c>
      <c r="F7" s="3">
        <v>10</v>
      </c>
      <c r="G7" s="3">
        <v>10</v>
      </c>
      <c r="H7" s="3">
        <v>13</v>
      </c>
      <c r="I7" s="3">
        <v>9</v>
      </c>
      <c r="J7" s="5" t="str" cm="1">
        <f t="array" ref="J7">IFERROR(TRIM(INDEX(C$4:I$4,MATCH(MIN(IFERROR(C7:I7,"")),C7:I7,0))),"n/a")</f>
        <v>Dictionary (50%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21</v>
      </c>
      <c r="D8" s="6">
        <v>35</v>
      </c>
      <c r="E8" s="3">
        <v>14</v>
      </c>
      <c r="F8" s="3">
        <v>11</v>
      </c>
      <c r="G8" s="3">
        <v>11</v>
      </c>
      <c r="H8" s="3">
        <v>12</v>
      </c>
      <c r="I8" s="3">
        <v>12</v>
      </c>
      <c r="J8" s="5" t="str" cm="1">
        <f t="array" ref="J8">IFERROR(TRIM(INDEX(C$4:I$4,MATCH(MIN(IFERROR(C8:I8,"")),C8:I8,0))),"n/a")</f>
        <v>cHashD (16384)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34</v>
      </c>
      <c r="D9" s="6">
        <v>25</v>
      </c>
      <c r="E9" s="3">
        <v>14</v>
      </c>
      <c r="F9" s="3">
        <v>18</v>
      </c>
      <c r="G9" s="3">
        <v>17</v>
      </c>
      <c r="H9" s="3">
        <v>16</v>
      </c>
      <c r="I9" s="3">
        <v>18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56</v>
      </c>
      <c r="D10" s="6">
        <v>39</v>
      </c>
      <c r="E10" s="3">
        <v>10</v>
      </c>
      <c r="F10" s="3">
        <v>30</v>
      </c>
      <c r="G10" s="3">
        <v>29</v>
      </c>
      <c r="H10" s="3">
        <v>29</v>
      </c>
      <c r="I10" s="3">
        <v>28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109</v>
      </c>
      <c r="D11" s="6">
        <v>73</v>
      </c>
      <c r="E11" s="3">
        <v>26</v>
      </c>
      <c r="F11" s="3">
        <v>51</v>
      </c>
      <c r="G11" s="3">
        <v>55</v>
      </c>
      <c r="H11" s="3">
        <v>54</v>
      </c>
      <c r="I11" s="3">
        <v>48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207</v>
      </c>
      <c r="D12" s="6">
        <v>151</v>
      </c>
      <c r="E12" s="3">
        <v>39</v>
      </c>
      <c r="F12" s="3">
        <v>101</v>
      </c>
      <c r="G12" s="3">
        <v>102</v>
      </c>
      <c r="H12" s="3">
        <v>115</v>
      </c>
      <c r="I12" s="3">
        <v>94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432</v>
      </c>
      <c r="D13" s="6">
        <v>311</v>
      </c>
      <c r="E13" s="3">
        <v>105</v>
      </c>
      <c r="F13" s="3">
        <v>175</v>
      </c>
      <c r="G13" s="3">
        <v>258</v>
      </c>
      <c r="H13" s="3">
        <v>244</v>
      </c>
      <c r="I13" s="3">
        <v>180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943</v>
      </c>
      <c r="D14" s="6">
        <v>662</v>
      </c>
      <c r="E14" s="3">
        <v>277</v>
      </c>
      <c r="F14" s="3">
        <v>355</v>
      </c>
      <c r="G14" s="3">
        <v>381</v>
      </c>
      <c r="H14" s="3">
        <v>458</v>
      </c>
      <c r="I14" s="3">
        <v>338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2284</v>
      </c>
      <c r="D15" s="6">
        <v>1526</v>
      </c>
      <c r="E15" s="3">
        <v>962</v>
      </c>
      <c r="F15" s="3">
        <v>722</v>
      </c>
      <c r="G15" s="3">
        <v>764</v>
      </c>
      <c r="H15" s="3">
        <v>834</v>
      </c>
      <c r="I15" s="3">
        <v>672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6443</v>
      </c>
      <c r="D16" s="6">
        <v>3100</v>
      </c>
      <c r="E16" s="3">
        <v>3561</v>
      </c>
      <c r="F16" s="3">
        <v>1457</v>
      </c>
      <c r="G16" s="3">
        <v>1543</v>
      </c>
      <c r="H16" s="3">
        <v>1692</v>
      </c>
      <c r="I16" s="3">
        <v>1312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20285</v>
      </c>
      <c r="D17" s="6">
        <v>6930</v>
      </c>
      <c r="E17" s="3">
        <v>14483</v>
      </c>
      <c r="F17" s="3">
        <v>2977</v>
      </c>
      <c r="G17" s="3">
        <v>3033</v>
      </c>
      <c r="H17" s="3">
        <v>3851</v>
      </c>
      <c r="I17" s="3">
        <v>2625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67672</v>
      </c>
      <c r="D18" s="6">
        <v>15658</v>
      </c>
      <c r="E18" s="3">
        <v>55546</v>
      </c>
      <c r="F18" s="3">
        <v>6341</v>
      </c>
      <c r="G18" s="3">
        <v>6876</v>
      </c>
      <c r="H18" s="3">
        <v>7543</v>
      </c>
      <c r="I18" s="3">
        <v>5651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256394</v>
      </c>
      <c r="D19" s="6">
        <v>33281</v>
      </c>
      <c r="E19" s="3">
        <v>229946</v>
      </c>
      <c r="F19" s="3">
        <v>14294</v>
      </c>
      <c r="G19" s="3">
        <v>14362</v>
      </c>
      <c r="H19" s="3">
        <v>15281</v>
      </c>
      <c r="I19" s="3">
        <v>11755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1027538</v>
      </c>
      <c r="D20" s="6">
        <v>75573</v>
      </c>
      <c r="E20" s="3">
        <v>980162</v>
      </c>
      <c r="F20" s="3">
        <v>31193</v>
      </c>
      <c r="G20" s="3">
        <v>27096</v>
      </c>
      <c r="H20" s="3">
        <v>30278</v>
      </c>
      <c r="I20" s="3">
        <v>22843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4500594</v>
      </c>
      <c r="D21" s="6">
        <v>170210</v>
      </c>
      <c r="E21" s="19">
        <v>4031123</v>
      </c>
      <c r="F21" s="3">
        <v>74826</v>
      </c>
      <c r="G21" s="3">
        <v>56674</v>
      </c>
      <c r="H21" s="3">
        <v>64777</v>
      </c>
      <c r="I21" s="3">
        <v>46064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384655</v>
      </c>
      <c r="E22" s="19" t="s">
        <v>27</v>
      </c>
      <c r="F22" s="3">
        <v>226329</v>
      </c>
      <c r="G22" s="3">
        <v>116094</v>
      </c>
      <c r="H22" s="3">
        <v>137852</v>
      </c>
      <c r="I22" s="3">
        <v>94390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847651</v>
      </c>
      <c r="E23" s="19" t="s">
        <v>27</v>
      </c>
      <c r="F23" s="3">
        <v>767059</v>
      </c>
      <c r="G23" s="3">
        <v>235464</v>
      </c>
      <c r="H23" s="3">
        <v>288325</v>
      </c>
      <c r="I23" s="3">
        <v>196712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1896356</v>
      </c>
      <c r="E24" s="19" t="s">
        <v>27</v>
      </c>
      <c r="F24" s="3">
        <v>2846822</v>
      </c>
      <c r="G24" s="3">
        <v>527033</v>
      </c>
      <c r="H24" s="3">
        <v>588251</v>
      </c>
      <c r="I24" s="3">
        <v>399066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1271875</v>
      </c>
      <c r="H25" s="3">
        <v>1205280</v>
      </c>
      <c r="I25" s="3">
        <v>805313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3229627</v>
      </c>
      <c r="H26" s="3">
        <v>3239811</v>
      </c>
      <c r="I26" s="3">
        <v>1620511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9861375</v>
      </c>
      <c r="H27" s="3">
        <v>9819016</v>
      </c>
      <c r="I27" s="3">
        <v>3300851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68</v>
      </c>
      <c r="D5" s="6">
        <v>35</v>
      </c>
      <c r="E5" s="3">
        <v>5</v>
      </c>
      <c r="F5" s="3">
        <v>3</v>
      </c>
      <c r="G5" s="3">
        <v>3</v>
      </c>
      <c r="H5" s="3">
        <v>3</v>
      </c>
      <c r="I5" s="3">
        <v>3</v>
      </c>
      <c r="J5" s="5" t="str" cm="1">
        <f t="array" ref="J5">IFERROR(TRIM(INDEX(C$4:I$4,MATCH(MIN(IFERROR(C5:I5,"")),C5:I5,0))),"n/a")</f>
        <v>cHashD (16384)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6</v>
      </c>
      <c r="D6" s="6">
        <v>9</v>
      </c>
      <c r="E6" s="3">
        <v>3</v>
      </c>
      <c r="F6" s="3">
        <v>4</v>
      </c>
      <c r="G6" s="3">
        <v>4</v>
      </c>
      <c r="H6" s="3">
        <v>4</v>
      </c>
      <c r="I6" s="3">
        <v>4</v>
      </c>
      <c r="J6" s="5" t="str" cm="1">
        <f t="array" ref="J6">IFERROR(TRIM(INDEX(C$4:I$4,MATCH(MIN(IFERROR(C6:I6,"")),C6:I6,0))),"n/a")</f>
        <v>Scripting Dictionary (early-binded)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9</v>
      </c>
      <c r="D7" s="6">
        <v>12</v>
      </c>
      <c r="E7" s="3">
        <v>4</v>
      </c>
      <c r="F7" s="3">
        <v>7</v>
      </c>
      <c r="G7" s="3">
        <v>7</v>
      </c>
      <c r="H7" s="3">
        <v>5</v>
      </c>
      <c r="I7" s="3">
        <v>6</v>
      </c>
      <c r="J7" s="5" t="str" cm="1">
        <f t="array" ref="J7">IFERROR(TRIM(INDEX(C$4:I$4,MATCH(MIN(IFERROR(C7:I7,"")),C7:I7,0))),"n/a")</f>
        <v>Scripting Dictionary (early-binded)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16</v>
      </c>
      <c r="D8" s="6">
        <v>15</v>
      </c>
      <c r="E8" s="3">
        <v>7</v>
      </c>
      <c r="F8" s="3">
        <v>9</v>
      </c>
      <c r="G8" s="3">
        <v>9</v>
      </c>
      <c r="H8" s="3">
        <v>9</v>
      </c>
      <c r="I8" s="3">
        <v>8</v>
      </c>
      <c r="J8" s="5" t="str" cm="1">
        <f t="array" ref="J8">IFERROR(TRIM(INDEX(C$4:I$4,MATCH(MIN(IFERROR(C8:I8,"")),C8:I8,0))),"n/a")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28</v>
      </c>
      <c r="D9" s="6">
        <v>30</v>
      </c>
      <c r="E9" s="3">
        <v>8</v>
      </c>
      <c r="F9" s="3">
        <v>13</v>
      </c>
      <c r="G9" s="3">
        <v>14</v>
      </c>
      <c r="H9" s="3">
        <v>15</v>
      </c>
      <c r="I9" s="3">
        <v>14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54</v>
      </c>
      <c r="D10" s="6">
        <v>53</v>
      </c>
      <c r="E10" s="3">
        <v>13</v>
      </c>
      <c r="F10" s="3">
        <v>26</v>
      </c>
      <c r="G10" s="3">
        <v>25</v>
      </c>
      <c r="H10" s="3">
        <v>27</v>
      </c>
      <c r="I10" s="3">
        <v>25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107</v>
      </c>
      <c r="D11" s="6">
        <v>100</v>
      </c>
      <c r="E11" s="3">
        <v>23</v>
      </c>
      <c r="F11" s="3">
        <v>46</v>
      </c>
      <c r="G11" s="3">
        <v>50</v>
      </c>
      <c r="H11" s="3">
        <v>50</v>
      </c>
      <c r="I11" s="3">
        <v>44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216</v>
      </c>
      <c r="D12" s="6">
        <v>219</v>
      </c>
      <c r="E12" s="3">
        <v>61</v>
      </c>
      <c r="F12" s="3">
        <v>94</v>
      </c>
      <c r="G12" s="3">
        <v>104</v>
      </c>
      <c r="H12" s="3">
        <v>137</v>
      </c>
      <c r="I12" s="3">
        <v>84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482</v>
      </c>
      <c r="D13" s="6">
        <v>463</v>
      </c>
      <c r="E13" s="3">
        <v>150</v>
      </c>
      <c r="F13" s="3">
        <v>163</v>
      </c>
      <c r="G13" s="3">
        <v>170</v>
      </c>
      <c r="H13" s="3">
        <v>298</v>
      </c>
      <c r="I13" s="3">
        <v>155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1136</v>
      </c>
      <c r="D14" s="6">
        <v>918</v>
      </c>
      <c r="E14" s="3">
        <v>496</v>
      </c>
      <c r="F14" s="3">
        <v>330</v>
      </c>
      <c r="G14" s="3">
        <v>353</v>
      </c>
      <c r="H14" s="3">
        <v>506</v>
      </c>
      <c r="I14" s="3">
        <v>299</v>
      </c>
      <c r="J14" s="5" t="str" cm="1">
        <f t="array" ref="J14">IFERROR(TRIM(INDEX(C$4:I$4,MATCH(MIN(IFERROR(C14:I14,"")),C14:I14,0))),"n/a")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3095</v>
      </c>
      <c r="D15" s="6">
        <v>1980</v>
      </c>
      <c r="E15" s="3">
        <v>1763</v>
      </c>
      <c r="F15" s="3">
        <v>685</v>
      </c>
      <c r="G15" s="3">
        <v>692</v>
      </c>
      <c r="H15" s="3">
        <v>871</v>
      </c>
      <c r="I15" s="3">
        <v>570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9966</v>
      </c>
      <c r="D16" s="6">
        <v>4144</v>
      </c>
      <c r="E16" s="3">
        <v>7067</v>
      </c>
      <c r="F16" s="3">
        <v>1372</v>
      </c>
      <c r="G16" s="3">
        <v>1327</v>
      </c>
      <c r="H16" s="3">
        <v>1723</v>
      </c>
      <c r="I16" s="3">
        <v>1163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33484</v>
      </c>
      <c r="D17" s="6">
        <v>8996</v>
      </c>
      <c r="E17" s="3">
        <v>27726</v>
      </c>
      <c r="F17" s="3">
        <v>2979</v>
      </c>
      <c r="G17" s="3">
        <v>2403</v>
      </c>
      <c r="H17" s="3">
        <v>3650</v>
      </c>
      <c r="I17" s="3">
        <v>2252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123525</v>
      </c>
      <c r="D18" s="6">
        <v>19232</v>
      </c>
      <c r="E18" s="3">
        <v>109437</v>
      </c>
      <c r="F18" s="3">
        <v>6000</v>
      </c>
      <c r="G18" s="3">
        <v>6125</v>
      </c>
      <c r="H18" s="3">
        <v>7226</v>
      </c>
      <c r="I18" s="3">
        <v>4730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513735</v>
      </c>
      <c r="D19" s="6">
        <v>41542</v>
      </c>
      <c r="E19" s="3">
        <v>489425</v>
      </c>
      <c r="F19" s="3">
        <v>12567</v>
      </c>
      <c r="G19" s="3">
        <v>11614</v>
      </c>
      <c r="H19" s="3">
        <v>14165</v>
      </c>
      <c r="I19" s="3">
        <v>9280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1995246</v>
      </c>
      <c r="D20" s="6">
        <v>93444</v>
      </c>
      <c r="E20" s="3">
        <v>1998156</v>
      </c>
      <c r="F20" s="3">
        <v>32053</v>
      </c>
      <c r="G20" s="3">
        <v>23184</v>
      </c>
      <c r="H20" s="3">
        <v>30397</v>
      </c>
      <c r="I20" s="3">
        <v>18752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10083613</v>
      </c>
      <c r="D21" s="6">
        <v>209518</v>
      </c>
      <c r="E21" s="19">
        <v>8608613</v>
      </c>
      <c r="F21" s="3">
        <v>101826</v>
      </c>
      <c r="G21" s="3">
        <v>52180</v>
      </c>
      <c r="H21" s="3">
        <v>70906</v>
      </c>
      <c r="I21" s="3">
        <v>37777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467184</v>
      </c>
      <c r="E22" s="19" t="s">
        <v>27</v>
      </c>
      <c r="F22" s="3">
        <v>364780</v>
      </c>
      <c r="G22" s="3">
        <v>104520</v>
      </c>
      <c r="H22" s="3">
        <v>156554</v>
      </c>
      <c r="I22" s="3">
        <v>79297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1021583</v>
      </c>
      <c r="E23" s="19" t="s">
        <v>27</v>
      </c>
      <c r="F23" s="3">
        <v>1378071</v>
      </c>
      <c r="G23" s="3">
        <v>214316</v>
      </c>
      <c r="H23" s="3">
        <v>338876</v>
      </c>
      <c r="I23" s="3">
        <v>165148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2319637</v>
      </c>
      <c r="E24" s="19" t="s">
        <v>27</v>
      </c>
      <c r="F24" s="3">
        <v>5426729</v>
      </c>
      <c r="G24" s="3">
        <v>530972</v>
      </c>
      <c r="H24" s="3">
        <v>669999</v>
      </c>
      <c r="I24" s="3">
        <v>341578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1469468</v>
      </c>
      <c r="H25" s="3">
        <v>1395863</v>
      </c>
      <c r="I25" s="3">
        <v>690897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4554563</v>
      </c>
      <c r="H26" s="3">
        <v>4434396</v>
      </c>
      <c r="I26" s="3">
        <v>1390897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15666539</v>
      </c>
      <c r="H27" s="3">
        <v>15464124</v>
      </c>
      <c r="I27" s="3">
        <v>2830508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369</v>
      </c>
      <c r="D5" s="6">
        <v>3</v>
      </c>
      <c r="E5" s="3">
        <v>8</v>
      </c>
      <c r="F5" s="3">
        <v>114</v>
      </c>
      <c r="G5" s="3">
        <v>26</v>
      </c>
      <c r="H5" s="3">
        <v>4</v>
      </c>
      <c r="I5" s="3">
        <v>161</v>
      </c>
      <c r="J5" s="5" t="str" cm="1">
        <f t="array" ref="J5">IFERROR(TRIM(INDEX(C$4:I$4,MATCH(MIN(IFERROR(C5:I5,"")),C5:I5,0))),"n/a")</f>
        <v>VBA Collection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19</v>
      </c>
      <c r="D6" s="6">
        <v>4</v>
      </c>
      <c r="E6" s="3">
        <v>8</v>
      </c>
      <c r="F6" s="3">
        <v>6</v>
      </c>
      <c r="G6" s="3">
        <v>7</v>
      </c>
      <c r="H6" s="3">
        <v>6</v>
      </c>
      <c r="I6" s="3">
        <v>6</v>
      </c>
      <c r="J6" s="5" t="str" cm="1">
        <f t="array" ref="J6">IFERROR(TRIM(INDEX(C$4:I$4,MATCH(MIN(IFERROR(C6:I6,"")),C6:I6,0))),"n/a")</f>
        <v>VBA Collection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18</v>
      </c>
      <c r="D7" s="6">
        <v>5</v>
      </c>
      <c r="E7" s="3">
        <v>8</v>
      </c>
      <c r="F7" s="3">
        <v>11</v>
      </c>
      <c r="G7" s="3">
        <v>8</v>
      </c>
      <c r="H7" s="3">
        <v>9</v>
      </c>
      <c r="I7" s="3">
        <v>8</v>
      </c>
      <c r="J7" s="5" t="str" cm="1">
        <f t="array" ref="J7">IFERROR(TRIM(INDEX(C$4:I$4,MATCH(MIN(IFERROR(C7:I7,"")),C7:I7,0))),"n/a")</f>
        <v>VBA Collection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29</v>
      </c>
      <c r="D8" s="6">
        <v>8</v>
      </c>
      <c r="E8" s="3">
        <v>12</v>
      </c>
      <c r="F8" s="3">
        <v>10</v>
      </c>
      <c r="G8" s="3">
        <v>12</v>
      </c>
      <c r="H8" s="3">
        <v>12</v>
      </c>
      <c r="I8" s="3">
        <v>10</v>
      </c>
      <c r="J8" s="5" t="str" cm="1">
        <f t="array" ref="J8">IFERROR(TRIM(INDEX(C$4:I$4,MATCH(MIN(IFERROR(C8:I8,"")),C8:I8,0))),"n/a")</f>
        <v>VBA Collection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54</v>
      </c>
      <c r="D9" s="6">
        <v>14</v>
      </c>
      <c r="E9" s="3">
        <v>10</v>
      </c>
      <c r="F9" s="3">
        <v>17</v>
      </c>
      <c r="G9" s="3">
        <v>21</v>
      </c>
      <c r="H9" s="3">
        <v>18</v>
      </c>
      <c r="I9" s="3">
        <v>16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94</v>
      </c>
      <c r="D10" s="6">
        <v>27</v>
      </c>
      <c r="E10" s="3">
        <v>10</v>
      </c>
      <c r="F10" s="3">
        <v>30</v>
      </c>
      <c r="G10" s="3">
        <v>31</v>
      </c>
      <c r="H10" s="3">
        <v>35</v>
      </c>
      <c r="I10" s="3">
        <v>28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183</v>
      </c>
      <c r="D11" s="6">
        <v>59</v>
      </c>
      <c r="E11" s="3">
        <v>24</v>
      </c>
      <c r="F11" s="3">
        <v>53</v>
      </c>
      <c r="G11" s="3">
        <v>58</v>
      </c>
      <c r="H11" s="3">
        <v>57</v>
      </c>
      <c r="I11" s="3">
        <v>49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362</v>
      </c>
      <c r="D12" s="6">
        <v>123</v>
      </c>
      <c r="E12" s="3">
        <v>39</v>
      </c>
      <c r="F12" s="3">
        <v>131</v>
      </c>
      <c r="G12" s="3">
        <v>111</v>
      </c>
      <c r="H12" s="3">
        <v>123</v>
      </c>
      <c r="I12" s="3">
        <v>98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772</v>
      </c>
      <c r="D13" s="6">
        <v>260</v>
      </c>
      <c r="E13" s="3">
        <v>108</v>
      </c>
      <c r="F13" s="3">
        <v>190</v>
      </c>
      <c r="G13" s="3">
        <v>202</v>
      </c>
      <c r="H13" s="3">
        <v>262</v>
      </c>
      <c r="I13" s="3">
        <v>185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1717</v>
      </c>
      <c r="D14" s="6">
        <v>564</v>
      </c>
      <c r="E14" s="3">
        <v>273</v>
      </c>
      <c r="F14" s="3">
        <v>384</v>
      </c>
      <c r="G14" s="3">
        <v>411</v>
      </c>
      <c r="H14" s="3">
        <v>492</v>
      </c>
      <c r="I14" s="3">
        <v>359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4461</v>
      </c>
      <c r="D15" s="6">
        <v>1278</v>
      </c>
      <c r="E15" s="3">
        <v>954</v>
      </c>
      <c r="F15" s="3">
        <v>774</v>
      </c>
      <c r="G15" s="3">
        <v>827</v>
      </c>
      <c r="H15" s="3">
        <v>886</v>
      </c>
      <c r="I15" s="3">
        <v>679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12703</v>
      </c>
      <c r="D16" s="6">
        <v>2926</v>
      </c>
      <c r="E16" s="3">
        <v>3854</v>
      </c>
      <c r="F16" s="3">
        <v>1583</v>
      </c>
      <c r="G16" s="3">
        <v>1557</v>
      </c>
      <c r="H16" s="3">
        <v>1803</v>
      </c>
      <c r="I16" s="3">
        <v>1394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38267</v>
      </c>
      <c r="D17" s="6">
        <v>6255</v>
      </c>
      <c r="E17" s="3">
        <v>14350</v>
      </c>
      <c r="F17" s="3">
        <v>3171</v>
      </c>
      <c r="G17" s="3">
        <v>3098</v>
      </c>
      <c r="H17" s="3">
        <v>3689</v>
      </c>
      <c r="I17" s="3">
        <v>2706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130503</v>
      </c>
      <c r="D18" s="6">
        <v>13963</v>
      </c>
      <c r="E18" s="3">
        <v>54972</v>
      </c>
      <c r="F18" s="3">
        <v>6800</v>
      </c>
      <c r="G18" s="3">
        <v>6991</v>
      </c>
      <c r="H18" s="3">
        <v>7776</v>
      </c>
      <c r="I18" s="3">
        <v>6170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503509</v>
      </c>
      <c r="D19" s="6">
        <v>30626</v>
      </c>
      <c r="E19" s="3">
        <v>229959</v>
      </c>
      <c r="F19" s="3">
        <v>14848</v>
      </c>
      <c r="G19" s="3">
        <v>14876</v>
      </c>
      <c r="H19" s="3">
        <v>15760</v>
      </c>
      <c r="I19" s="3">
        <v>12565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2022198</v>
      </c>
      <c r="D20" s="6">
        <v>70261</v>
      </c>
      <c r="E20" s="3">
        <v>1033194</v>
      </c>
      <c r="F20" s="3">
        <v>34796</v>
      </c>
      <c r="G20" s="3">
        <v>28822</v>
      </c>
      <c r="H20" s="3">
        <v>32165</v>
      </c>
      <c r="I20" s="3">
        <v>23540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8326545</v>
      </c>
      <c r="D21" s="6">
        <v>158411</v>
      </c>
      <c r="E21" s="19">
        <v>4165026</v>
      </c>
      <c r="F21" s="3">
        <v>80424</v>
      </c>
      <c r="G21" s="3">
        <v>62130</v>
      </c>
      <c r="H21" s="3">
        <v>68564</v>
      </c>
      <c r="I21" s="3">
        <v>47198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362213</v>
      </c>
      <c r="E22" s="19" t="s">
        <v>27</v>
      </c>
      <c r="F22" s="3">
        <v>236655</v>
      </c>
      <c r="G22" s="3">
        <v>123656</v>
      </c>
      <c r="H22" s="3">
        <v>145796</v>
      </c>
      <c r="I22" s="3">
        <v>99410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807356</v>
      </c>
      <c r="E23" s="19" t="s">
        <v>27</v>
      </c>
      <c r="F23" s="3">
        <v>790363</v>
      </c>
      <c r="G23" s="3">
        <v>252396</v>
      </c>
      <c r="H23" s="3">
        <v>318156</v>
      </c>
      <c r="I23" s="3">
        <v>203822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1831621</v>
      </c>
      <c r="E24" s="19" t="s">
        <v>27</v>
      </c>
      <c r="F24" s="3">
        <v>2919656</v>
      </c>
      <c r="G24" s="3">
        <v>554918</v>
      </c>
      <c r="H24" s="3">
        <v>621215</v>
      </c>
      <c r="I24" s="3">
        <v>418097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1277960</v>
      </c>
      <c r="H25" s="3">
        <v>1284552</v>
      </c>
      <c r="I25" s="3">
        <v>847424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3344060</v>
      </c>
      <c r="H26" s="3">
        <v>3376514</v>
      </c>
      <c r="I26" s="3">
        <v>1725468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10074435</v>
      </c>
      <c r="H27" s="3">
        <v>10118456</v>
      </c>
      <c r="I27" s="3">
        <v>3443092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147</v>
      </c>
      <c r="D5" s="6" t="s">
        <v>26</v>
      </c>
      <c r="E5" s="3">
        <v>5</v>
      </c>
      <c r="F5" s="3">
        <v>105</v>
      </c>
      <c r="G5" s="3">
        <v>22</v>
      </c>
      <c r="H5" s="3">
        <v>4</v>
      </c>
      <c r="I5" s="3">
        <v>194</v>
      </c>
      <c r="J5" s="5" t="str" cm="1">
        <f t="array" ref="J5">IFERROR(TRIM(INDEX(C$4:I$4,MATCH(MIN(IFERROR(C5:I5,"")),C5:I5,0))),"n/a")</f>
        <v>cHashD
(predict 38.5%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11</v>
      </c>
      <c r="D6" s="6" t="s">
        <v>26</v>
      </c>
      <c r="E6" s="3">
        <v>6</v>
      </c>
      <c r="F6" s="3">
        <v>5</v>
      </c>
      <c r="G6" s="3">
        <v>5</v>
      </c>
      <c r="H6" s="3">
        <v>5</v>
      </c>
      <c r="I6" s="3">
        <v>5</v>
      </c>
      <c r="J6" s="5" t="str" cm="1">
        <f t="array" ref="J6">IFERROR(TRIM(INDEX(C$4:I$4,MATCH(MIN(IFERROR(C6:I6,"")),C6:I6,0))),"n/a")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6</v>
      </c>
      <c r="D7" s="6" t="s">
        <v>26</v>
      </c>
      <c r="E7" s="3">
        <v>6</v>
      </c>
      <c r="F7" s="3">
        <v>8</v>
      </c>
      <c r="G7" s="3">
        <v>6</v>
      </c>
      <c r="H7" s="3">
        <v>7</v>
      </c>
      <c r="I7" s="3">
        <v>8</v>
      </c>
      <c r="J7" s="5" t="str" cm="1">
        <f t="array" ref="J7">IFERROR(TRIM(INDEX(C$4:I$4,MATCH(MIN(IFERROR(C7:I7,"")),C7:I7,0))),"n/a")</f>
        <v>Tim Hall's VBA-Dictionary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10</v>
      </c>
      <c r="D8" s="6" t="s">
        <v>26</v>
      </c>
      <c r="E8" s="3">
        <v>8</v>
      </c>
      <c r="F8" s="3">
        <v>9</v>
      </c>
      <c r="G8" s="3">
        <v>10</v>
      </c>
      <c r="H8" s="3">
        <v>12</v>
      </c>
      <c r="I8" s="3">
        <v>10</v>
      </c>
      <c r="J8" s="5" t="str" cm="1">
        <f t="array" ref="J8">IFERROR(TRIM(INDEX(C$4:I$4,MATCH(MIN(IFERROR(C8:I8,"")),C8:I8,0))),"n/a")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16</v>
      </c>
      <c r="D9" s="6" t="s">
        <v>26</v>
      </c>
      <c r="E9" s="3">
        <v>9</v>
      </c>
      <c r="F9" s="3">
        <v>15</v>
      </c>
      <c r="G9" s="3">
        <v>16</v>
      </c>
      <c r="H9" s="3">
        <v>15</v>
      </c>
      <c r="I9" s="3">
        <v>16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28</v>
      </c>
      <c r="D10" s="6" t="s">
        <v>26</v>
      </c>
      <c r="E10" s="3">
        <v>10</v>
      </c>
      <c r="F10" s="3">
        <v>28</v>
      </c>
      <c r="G10" s="3">
        <v>27</v>
      </c>
      <c r="H10" s="3">
        <v>34</v>
      </c>
      <c r="I10" s="3">
        <v>28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53</v>
      </c>
      <c r="D11" s="6" t="s">
        <v>26</v>
      </c>
      <c r="E11" s="3">
        <v>22</v>
      </c>
      <c r="F11" s="3">
        <v>50</v>
      </c>
      <c r="G11" s="3">
        <v>55</v>
      </c>
      <c r="H11" s="3">
        <v>52</v>
      </c>
      <c r="I11" s="3">
        <v>50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107</v>
      </c>
      <c r="D12" s="6" t="s">
        <v>26</v>
      </c>
      <c r="E12" s="3">
        <v>42</v>
      </c>
      <c r="F12" s="3">
        <v>122</v>
      </c>
      <c r="G12" s="3">
        <v>104</v>
      </c>
      <c r="H12" s="3">
        <v>128</v>
      </c>
      <c r="I12" s="3">
        <v>98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235</v>
      </c>
      <c r="D13" s="6" t="s">
        <v>26</v>
      </c>
      <c r="E13" s="3">
        <v>110</v>
      </c>
      <c r="F13" s="3">
        <v>178</v>
      </c>
      <c r="G13" s="3">
        <v>195</v>
      </c>
      <c r="H13" s="3">
        <v>247</v>
      </c>
      <c r="I13" s="3">
        <v>188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567</v>
      </c>
      <c r="D14" s="6" t="s">
        <v>26</v>
      </c>
      <c r="E14" s="3">
        <v>289</v>
      </c>
      <c r="F14" s="3">
        <v>366</v>
      </c>
      <c r="G14" s="3">
        <v>390</v>
      </c>
      <c r="H14" s="3">
        <v>466</v>
      </c>
      <c r="I14" s="3">
        <v>361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1570</v>
      </c>
      <c r="D15" s="6" t="s">
        <v>26</v>
      </c>
      <c r="E15" s="3">
        <v>990</v>
      </c>
      <c r="F15" s="3">
        <v>698</v>
      </c>
      <c r="G15" s="3">
        <v>774</v>
      </c>
      <c r="H15" s="3">
        <v>849</v>
      </c>
      <c r="I15" s="3">
        <v>688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5045</v>
      </c>
      <c r="D16" s="6" t="s">
        <v>26</v>
      </c>
      <c r="E16" s="3">
        <v>3936</v>
      </c>
      <c r="F16" s="3">
        <v>1463</v>
      </c>
      <c r="G16" s="3">
        <v>1477</v>
      </c>
      <c r="H16" s="3">
        <v>1755</v>
      </c>
      <c r="I16" s="3">
        <v>1401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16828</v>
      </c>
      <c r="D17" s="6" t="s">
        <v>26</v>
      </c>
      <c r="E17" s="3">
        <v>14430</v>
      </c>
      <c r="F17" s="3">
        <v>3054</v>
      </c>
      <c r="G17" s="3">
        <v>3066</v>
      </c>
      <c r="H17" s="3">
        <v>3436</v>
      </c>
      <c r="I17" s="3">
        <v>2712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60894</v>
      </c>
      <c r="D18" s="6" t="s">
        <v>26</v>
      </c>
      <c r="E18" s="3">
        <v>55799</v>
      </c>
      <c r="F18" s="3">
        <v>6677</v>
      </c>
      <c r="G18" s="3">
        <v>6188</v>
      </c>
      <c r="H18" s="3">
        <v>7025</v>
      </c>
      <c r="I18" s="3">
        <v>5738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241325</v>
      </c>
      <c r="D19" s="6" t="s">
        <v>26</v>
      </c>
      <c r="E19" s="3">
        <v>229938</v>
      </c>
      <c r="F19" s="3">
        <v>13367</v>
      </c>
      <c r="G19" s="3">
        <v>13279</v>
      </c>
      <c r="H19" s="3">
        <v>14281</v>
      </c>
      <c r="I19" s="3">
        <v>11998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998468</v>
      </c>
      <c r="D20" s="6" t="s">
        <v>26</v>
      </c>
      <c r="E20" s="3">
        <v>997019</v>
      </c>
      <c r="F20" s="3">
        <v>30640</v>
      </c>
      <c r="G20" s="3">
        <v>27546</v>
      </c>
      <c r="H20" s="3">
        <v>30973</v>
      </c>
      <c r="I20" s="3">
        <v>24173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4050918</v>
      </c>
      <c r="D21" s="6" t="s">
        <v>26</v>
      </c>
      <c r="E21" s="19">
        <v>4135510</v>
      </c>
      <c r="F21" s="3">
        <v>77384</v>
      </c>
      <c r="G21" s="3">
        <v>57555</v>
      </c>
      <c r="H21" s="3">
        <v>65154</v>
      </c>
      <c r="I21" s="3">
        <v>48560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 t="s">
        <v>26</v>
      </c>
      <c r="E22" s="19" t="s">
        <v>27</v>
      </c>
      <c r="F22" s="3">
        <v>233156</v>
      </c>
      <c r="G22" s="3">
        <v>119898</v>
      </c>
      <c r="H22" s="3">
        <v>142902</v>
      </c>
      <c r="I22" s="3">
        <v>99792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 t="s">
        <v>26</v>
      </c>
      <c r="E23" s="19" t="s">
        <v>27</v>
      </c>
      <c r="F23" s="3">
        <v>776035</v>
      </c>
      <c r="G23" s="3">
        <v>241500</v>
      </c>
      <c r="H23" s="3">
        <v>308998</v>
      </c>
      <c r="I23" s="3">
        <v>207408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 t="s">
        <v>26</v>
      </c>
      <c r="E24" s="19" t="s">
        <v>27</v>
      </c>
      <c r="F24" s="3">
        <v>2898027</v>
      </c>
      <c r="G24" s="3">
        <v>535723</v>
      </c>
      <c r="H24" s="3">
        <v>604733</v>
      </c>
      <c r="I24" s="3">
        <v>423848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6" t="s">
        <v>26</v>
      </c>
      <c r="E25" s="19" t="s">
        <v>27</v>
      </c>
      <c r="F25" s="19" t="s">
        <v>27</v>
      </c>
      <c r="G25" s="3">
        <v>1247700</v>
      </c>
      <c r="H25" s="3">
        <v>1251967</v>
      </c>
      <c r="I25" s="3">
        <v>861252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26</v>
      </c>
      <c r="E26" s="19" t="s">
        <v>27</v>
      </c>
      <c r="F26" s="19" t="s">
        <v>27</v>
      </c>
      <c r="G26" s="3">
        <v>3264151</v>
      </c>
      <c r="H26" s="3">
        <v>3290464</v>
      </c>
      <c r="I26" s="3">
        <v>1719544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26</v>
      </c>
      <c r="E27" s="19" t="s">
        <v>27</v>
      </c>
      <c r="F27" s="19" t="s">
        <v>27</v>
      </c>
      <c r="G27" s="3">
        <v>9860938</v>
      </c>
      <c r="H27" s="3">
        <v>9921158</v>
      </c>
      <c r="I27" s="3">
        <v>3497712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154</v>
      </c>
      <c r="D5" s="6" t="s">
        <v>26</v>
      </c>
      <c r="E5" s="3">
        <v>9</v>
      </c>
      <c r="F5" s="3" t="s">
        <v>26</v>
      </c>
      <c r="G5" s="3" t="s">
        <v>26</v>
      </c>
      <c r="H5" s="3" t="s">
        <v>26</v>
      </c>
      <c r="I5" s="3">
        <v>367</v>
      </c>
      <c r="J5" s="5" t="str" cm="1">
        <f t="array" ref="J5">IFERROR(TRIM(INDEX(C$4:I$4,MATCH(MIN(IFERROR(C5:I5,"")),C5:I5,0))),"n/a")</f>
        <v>Scripting Dictionary (early-binded)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18</v>
      </c>
      <c r="D6" s="6" t="s">
        <v>26</v>
      </c>
      <c r="E6" s="3">
        <v>9</v>
      </c>
      <c r="F6" s="3" t="s">
        <v>26</v>
      </c>
      <c r="G6" s="3" t="s">
        <v>26</v>
      </c>
      <c r="H6" s="3" t="s">
        <v>26</v>
      </c>
      <c r="I6" s="3">
        <v>10</v>
      </c>
      <c r="J6" s="5" t="str" cm="1">
        <f t="array" ref="J6">IFERROR(TRIM(INDEX(C$4:I$4,MATCH(MIN(IFERROR(C6:I6,"")),C6:I6,0))),"n/a")</f>
        <v>Scripting Dictionary (early-binded)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9</v>
      </c>
      <c r="D7" s="6" t="s">
        <v>26</v>
      </c>
      <c r="E7" s="3">
        <v>10</v>
      </c>
      <c r="F7" s="3" t="s">
        <v>26</v>
      </c>
      <c r="G7" s="3" t="s">
        <v>26</v>
      </c>
      <c r="H7" s="3" t="s">
        <v>26</v>
      </c>
      <c r="I7" s="3">
        <v>13</v>
      </c>
      <c r="J7" s="5" t="str" cm="1">
        <f t="array" ref="J7">IFERROR(TRIM(INDEX(C$4:I$4,MATCH(MIN(IFERROR(C7:I7,"")),C7:I7,0))),"n/a")</f>
        <v>Tim Hall's VBA-Dictionary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16</v>
      </c>
      <c r="D8" s="6" t="s">
        <v>26</v>
      </c>
      <c r="E8" s="3">
        <v>14</v>
      </c>
      <c r="F8" s="3" t="s">
        <v>26</v>
      </c>
      <c r="G8" s="3" t="s">
        <v>26</v>
      </c>
      <c r="H8" s="3" t="s">
        <v>26</v>
      </c>
      <c r="I8" s="3">
        <v>23</v>
      </c>
      <c r="J8" s="5" t="str" cm="1">
        <f t="array" ref="J8">IFERROR(TRIM(INDEX(C$4:I$4,MATCH(MIN(IFERROR(C8:I8,"")),C8:I8,0))),"n/a")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22</v>
      </c>
      <c r="D9" s="6" t="s">
        <v>26</v>
      </c>
      <c r="E9" s="3">
        <v>15</v>
      </c>
      <c r="F9" s="3" t="s">
        <v>26</v>
      </c>
      <c r="G9" s="3" t="s">
        <v>26</v>
      </c>
      <c r="H9" s="3" t="s">
        <v>26</v>
      </c>
      <c r="I9" s="3">
        <v>36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40</v>
      </c>
      <c r="D10" s="6" t="s">
        <v>26</v>
      </c>
      <c r="E10" s="3">
        <v>20</v>
      </c>
      <c r="F10" s="3" t="s">
        <v>26</v>
      </c>
      <c r="G10" s="3" t="s">
        <v>26</v>
      </c>
      <c r="H10" s="3" t="s">
        <v>26</v>
      </c>
      <c r="I10" s="3">
        <v>69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77</v>
      </c>
      <c r="D11" s="6" t="s">
        <v>26</v>
      </c>
      <c r="E11" s="3">
        <v>45</v>
      </c>
      <c r="F11" s="3" t="s">
        <v>26</v>
      </c>
      <c r="G11" s="3" t="s">
        <v>26</v>
      </c>
      <c r="H11" s="3" t="s">
        <v>26</v>
      </c>
      <c r="I11" s="3">
        <v>121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167</v>
      </c>
      <c r="D12" s="6" t="s">
        <v>26</v>
      </c>
      <c r="E12" s="3">
        <v>101</v>
      </c>
      <c r="F12" s="3" t="s">
        <v>26</v>
      </c>
      <c r="G12" s="3" t="s">
        <v>26</v>
      </c>
      <c r="H12" s="3" t="s">
        <v>26</v>
      </c>
      <c r="I12" s="3">
        <v>238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432</v>
      </c>
      <c r="D13" s="6" t="s">
        <v>26</v>
      </c>
      <c r="E13" s="3">
        <v>313</v>
      </c>
      <c r="F13" s="3" t="s">
        <v>26</v>
      </c>
      <c r="G13" s="3" t="s">
        <v>26</v>
      </c>
      <c r="H13" s="3" t="s">
        <v>26</v>
      </c>
      <c r="I13" s="3">
        <v>443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1249</v>
      </c>
      <c r="D14" s="6" t="s">
        <v>26</v>
      </c>
      <c r="E14" s="3">
        <v>929</v>
      </c>
      <c r="F14" s="3" t="s">
        <v>26</v>
      </c>
      <c r="G14" s="3" t="s">
        <v>26</v>
      </c>
      <c r="H14" s="3" t="s">
        <v>26</v>
      </c>
      <c r="I14" s="3">
        <v>850</v>
      </c>
      <c r="J14" s="5" t="str" cm="1">
        <f t="array" ref="J14">IFERROR(TRIM(INDEX(C$4:I$4,MATCH(MIN(IFERROR(C14:I14,"")),C14:I14,0))),"n/a")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4356</v>
      </c>
      <c r="D15" s="6" t="s">
        <v>26</v>
      </c>
      <c r="E15" s="3">
        <v>3616</v>
      </c>
      <c r="F15" s="3" t="s">
        <v>26</v>
      </c>
      <c r="G15" s="3" t="s">
        <v>26</v>
      </c>
      <c r="H15" s="3" t="s">
        <v>26</v>
      </c>
      <c r="I15" s="3">
        <v>1642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15671</v>
      </c>
      <c r="D16" s="6" t="s">
        <v>26</v>
      </c>
      <c r="E16" s="3">
        <v>14531</v>
      </c>
      <c r="F16" s="3" t="s">
        <v>26</v>
      </c>
      <c r="G16" s="3" t="s">
        <v>26</v>
      </c>
      <c r="H16" s="3" t="s">
        <v>26</v>
      </c>
      <c r="I16" s="3">
        <v>3345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57880</v>
      </c>
      <c r="D17" s="6" t="s">
        <v>26</v>
      </c>
      <c r="E17" s="3">
        <v>56123</v>
      </c>
      <c r="F17" s="3" t="s">
        <v>26</v>
      </c>
      <c r="G17" s="3" t="s">
        <v>26</v>
      </c>
      <c r="H17" s="3" t="s">
        <v>26</v>
      </c>
      <c r="I17" s="3">
        <v>6601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227423</v>
      </c>
      <c r="D18" s="6" t="s">
        <v>26</v>
      </c>
      <c r="E18" s="3">
        <v>218343</v>
      </c>
      <c r="F18" s="3" t="s">
        <v>26</v>
      </c>
      <c r="G18" s="3" t="s">
        <v>26</v>
      </c>
      <c r="H18" s="3" t="s">
        <v>26</v>
      </c>
      <c r="I18" s="3">
        <v>13747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994314</v>
      </c>
      <c r="D19" s="6" t="s">
        <v>26</v>
      </c>
      <c r="E19" s="3">
        <v>978069</v>
      </c>
      <c r="F19" s="3" t="s">
        <v>26</v>
      </c>
      <c r="G19" s="3" t="s">
        <v>26</v>
      </c>
      <c r="H19" s="3" t="s">
        <v>26</v>
      </c>
      <c r="I19" s="3">
        <v>28136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4010928</v>
      </c>
      <c r="D20" s="6" t="s">
        <v>26</v>
      </c>
      <c r="E20" s="3">
        <v>4001240</v>
      </c>
      <c r="F20" s="3" t="s">
        <v>26</v>
      </c>
      <c r="G20" s="3" t="s">
        <v>26</v>
      </c>
      <c r="H20" s="3" t="s">
        <v>26</v>
      </c>
      <c r="I20" s="3">
        <v>55465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20407268</v>
      </c>
      <c r="D21" s="6" t="s">
        <v>26</v>
      </c>
      <c r="E21" s="19">
        <v>18601891</v>
      </c>
      <c r="F21" s="3" t="s">
        <v>26</v>
      </c>
      <c r="G21" s="3" t="s">
        <v>26</v>
      </c>
      <c r="H21" s="3" t="s">
        <v>26</v>
      </c>
      <c r="I21" s="3">
        <v>111502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 t="s">
        <v>26</v>
      </c>
      <c r="E22" s="19" t="s">
        <v>27</v>
      </c>
      <c r="F22" s="3" t="s">
        <v>26</v>
      </c>
      <c r="G22" s="3" t="s">
        <v>26</v>
      </c>
      <c r="H22" s="3" t="s">
        <v>26</v>
      </c>
      <c r="I22" s="3">
        <v>230836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 t="s">
        <v>26</v>
      </c>
      <c r="E23" s="19" t="s">
        <v>27</v>
      </c>
      <c r="F23" s="3" t="s">
        <v>26</v>
      </c>
      <c r="G23" s="3" t="s">
        <v>26</v>
      </c>
      <c r="H23" s="3" t="s">
        <v>26</v>
      </c>
      <c r="I23" s="3">
        <v>478443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 t="s">
        <v>26</v>
      </c>
      <c r="E24" s="19" t="s">
        <v>27</v>
      </c>
      <c r="F24" s="3" t="s">
        <v>26</v>
      </c>
      <c r="G24" s="3" t="s">
        <v>26</v>
      </c>
      <c r="H24" s="3" t="s">
        <v>26</v>
      </c>
      <c r="I24" s="3">
        <v>959515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6" t="s">
        <v>26</v>
      </c>
      <c r="E25" s="19" t="s">
        <v>27</v>
      </c>
      <c r="F25" s="3" t="s">
        <v>26</v>
      </c>
      <c r="G25" s="3" t="s">
        <v>26</v>
      </c>
      <c r="H25" s="3" t="s">
        <v>26</v>
      </c>
      <c r="I25" s="3">
        <v>1976776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26</v>
      </c>
      <c r="E26" s="19" t="s">
        <v>27</v>
      </c>
      <c r="F26" s="3" t="s">
        <v>26</v>
      </c>
      <c r="G26" s="3" t="s">
        <v>26</v>
      </c>
      <c r="H26" s="3" t="s">
        <v>26</v>
      </c>
      <c r="I26" s="3">
        <v>3961651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26</v>
      </c>
      <c r="E27" s="19" t="s">
        <v>27</v>
      </c>
      <c r="F27" s="19" t="s">
        <v>26</v>
      </c>
      <c r="G27" s="3" t="s">
        <v>26</v>
      </c>
      <c r="H27" s="3" t="s">
        <v>26</v>
      </c>
      <c r="I27" s="3">
        <v>8004910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19</v>
      </c>
      <c r="D3" s="24" t="s">
        <v>21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 t="s">
        <v>26</v>
      </c>
      <c r="D5" s="6" t="s">
        <v>26</v>
      </c>
      <c r="E5" s="3">
        <v>1308</v>
      </c>
      <c r="F5" s="3" t="s">
        <v>26</v>
      </c>
      <c r="G5" s="3" t="s">
        <v>26</v>
      </c>
      <c r="H5" s="3" t="s">
        <v>26</v>
      </c>
      <c r="I5" s="3">
        <v>317</v>
      </c>
      <c r="J5" s="5" t="str" cm="1">
        <f t="array" ref="J5">IFERROR(TRIM(INDEX(C$4:I$4,MATCH(MIN(IFERROR(C5:I5,"")),C5:I5,0))),"n/a")</f>
        <v>Dictionary (50%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 t="s">
        <v>26</v>
      </c>
      <c r="D6" s="6" t="s">
        <v>26</v>
      </c>
      <c r="E6" s="3">
        <v>1020</v>
      </c>
      <c r="F6" s="3" t="s">
        <v>26</v>
      </c>
      <c r="G6" s="3" t="s">
        <v>26</v>
      </c>
      <c r="H6" s="3" t="s">
        <v>26</v>
      </c>
      <c r="I6" s="3">
        <v>70</v>
      </c>
      <c r="J6" s="5" t="str" cm="1">
        <f t="array" ref="J6">IFERROR(TRIM(INDEX(C$4:I$4,MATCH(MIN(IFERROR(C6:I6,"")),C6:I6,0))),"n/a")</f>
        <v>Dictionary (50% load)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 t="s">
        <v>26</v>
      </c>
      <c r="D7" s="6" t="s">
        <v>26</v>
      </c>
      <c r="E7" s="3">
        <v>1035</v>
      </c>
      <c r="F7" s="3" t="s">
        <v>26</v>
      </c>
      <c r="G7" s="3" t="s">
        <v>26</v>
      </c>
      <c r="H7" s="3" t="s">
        <v>26</v>
      </c>
      <c r="I7" s="3">
        <v>111</v>
      </c>
      <c r="J7" s="5" t="str" cm="1">
        <f t="array" ref="J7">IFERROR(TRIM(INDEX(C$4:I$4,MATCH(MIN(IFERROR(C7:I7,"")),C7:I7,0))),"n/a")</f>
        <v>Dictionary (50%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 t="s">
        <v>26</v>
      </c>
      <c r="D8" s="6" t="s">
        <v>26</v>
      </c>
      <c r="E8" s="3">
        <v>1110</v>
      </c>
      <c r="F8" s="3" t="s">
        <v>26</v>
      </c>
      <c r="G8" s="3" t="s">
        <v>26</v>
      </c>
      <c r="H8" s="3" t="s">
        <v>26</v>
      </c>
      <c r="I8" s="3">
        <v>83</v>
      </c>
      <c r="J8" s="5" t="str" cm="1">
        <f t="array" ref="J8">IFERROR(TRIM(INDEX(C$4:I$4,MATCH(MIN(IFERROR(C8:I8,"")),C8:I8,0))),"n/a")</f>
        <v>Dictionary (50% load)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 t="s">
        <v>26</v>
      </c>
      <c r="D9" s="6" t="s">
        <v>26</v>
      </c>
      <c r="E9" s="3">
        <v>1033</v>
      </c>
      <c r="F9" s="3" t="s">
        <v>26</v>
      </c>
      <c r="G9" s="3" t="s">
        <v>26</v>
      </c>
      <c r="H9" s="3" t="s">
        <v>26</v>
      </c>
      <c r="I9" s="3">
        <v>59</v>
      </c>
      <c r="J9" s="5" t="str" cm="1">
        <f t="array" ref="J9">IFERROR(TRIM(INDEX(C$4:I$4,MATCH(MIN(IFERROR(C9:I9,"")),C9:I9,0))),"n/a")</f>
        <v>Dictionary (50% load)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 t="s">
        <v>26</v>
      </c>
      <c r="D10" s="6" t="s">
        <v>26</v>
      </c>
      <c r="E10" s="3">
        <v>1465</v>
      </c>
      <c r="F10" s="3" t="s">
        <v>26</v>
      </c>
      <c r="G10" s="3" t="s">
        <v>26</v>
      </c>
      <c r="H10" s="3" t="s">
        <v>26</v>
      </c>
      <c r="I10" s="3">
        <v>65</v>
      </c>
      <c r="J10" s="5" t="str" cm="1">
        <f t="array" ref="J10">IFERROR(TRIM(INDEX(C$4:I$4,MATCH(MIN(IFERROR(C10:I10,"")),C10:I10,0))),"n/a")</f>
        <v>Dictionary (50% load)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 t="s">
        <v>26</v>
      </c>
      <c r="D11" s="6" t="s">
        <v>26</v>
      </c>
      <c r="E11" s="3">
        <v>1162</v>
      </c>
      <c r="F11" s="3" t="s">
        <v>26</v>
      </c>
      <c r="G11" s="3" t="s">
        <v>26</v>
      </c>
      <c r="H11" s="3" t="s">
        <v>26</v>
      </c>
      <c r="I11" s="3">
        <v>46</v>
      </c>
      <c r="J11" s="5" t="str" cm="1">
        <f t="array" ref="J11">IFERROR(TRIM(INDEX(C$4:I$4,MATCH(MIN(IFERROR(C11:I11,"")),C11:I11,0))),"n/a")</f>
        <v>Dictionary (50% load)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 t="s">
        <v>26</v>
      </c>
      <c r="D12" s="6" t="s">
        <v>26</v>
      </c>
      <c r="E12" s="3">
        <v>1818</v>
      </c>
      <c r="F12" s="3" t="s">
        <v>26</v>
      </c>
      <c r="G12" s="3" t="s">
        <v>26</v>
      </c>
      <c r="H12" s="3" t="s">
        <v>26</v>
      </c>
      <c r="I12" s="3">
        <v>69</v>
      </c>
      <c r="J12" s="5" t="str" cm="1">
        <f t="array" ref="J12">IFERROR(TRIM(INDEX(C$4:I$4,MATCH(MIN(IFERROR(C12:I12,"")),C12:I12,0))),"n/a")</f>
        <v>Dictionary (50% load)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 t="s">
        <v>26</v>
      </c>
      <c r="D13" s="6" t="s">
        <v>26</v>
      </c>
      <c r="E13" s="3">
        <v>1113</v>
      </c>
      <c r="F13" s="3" t="s">
        <v>26</v>
      </c>
      <c r="G13" s="3" t="s">
        <v>26</v>
      </c>
      <c r="H13" s="3" t="s">
        <v>26</v>
      </c>
      <c r="I13" s="3">
        <v>71</v>
      </c>
      <c r="J13" s="5" t="str" cm="1">
        <f t="array" ref="J13">IFERROR(TRIM(INDEX(C$4:I$4,MATCH(MIN(IFERROR(C13:I13,"")),C13:I13,0))),"n/a")</f>
        <v>Dictionary (50% load)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 t="s">
        <v>26</v>
      </c>
      <c r="D14" s="6" t="s">
        <v>26</v>
      </c>
      <c r="E14" s="3">
        <v>1287</v>
      </c>
      <c r="F14" s="3" t="s">
        <v>26</v>
      </c>
      <c r="G14" s="3" t="s">
        <v>26</v>
      </c>
      <c r="H14" s="3" t="s">
        <v>26</v>
      </c>
      <c r="I14" s="3">
        <v>117</v>
      </c>
      <c r="J14" s="5" t="str" cm="1">
        <f t="array" ref="J14">IFERROR(TRIM(INDEX(C$4:I$4,MATCH(MIN(IFERROR(C14:I14,"")),C14:I14,0))),"n/a")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 t="s">
        <v>26</v>
      </c>
      <c r="D15" s="6" t="s">
        <v>26</v>
      </c>
      <c r="E15" s="3">
        <v>1549</v>
      </c>
      <c r="F15" s="3" t="s">
        <v>26</v>
      </c>
      <c r="G15" s="3" t="s">
        <v>26</v>
      </c>
      <c r="H15" s="3" t="s">
        <v>26</v>
      </c>
      <c r="I15" s="3">
        <v>109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 t="s">
        <v>26</v>
      </c>
      <c r="D16" s="6" t="s">
        <v>26</v>
      </c>
      <c r="E16" s="3">
        <v>1452</v>
      </c>
      <c r="F16" s="3" t="s">
        <v>26</v>
      </c>
      <c r="G16" s="3" t="s">
        <v>26</v>
      </c>
      <c r="H16" s="3" t="s">
        <v>26</v>
      </c>
      <c r="I16" s="3">
        <v>179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 t="s">
        <v>26</v>
      </c>
      <c r="D17" s="6" t="s">
        <v>26</v>
      </c>
      <c r="E17" s="3">
        <v>1493</v>
      </c>
      <c r="F17" s="3" t="s">
        <v>26</v>
      </c>
      <c r="G17" s="3" t="s">
        <v>26</v>
      </c>
      <c r="H17" s="3" t="s">
        <v>26</v>
      </c>
      <c r="I17" s="3">
        <v>301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 t="s">
        <v>26</v>
      </c>
      <c r="D18" s="6" t="s">
        <v>26</v>
      </c>
      <c r="E18" s="3">
        <v>1820</v>
      </c>
      <c r="F18" s="3" t="s">
        <v>26</v>
      </c>
      <c r="G18" s="3" t="s">
        <v>26</v>
      </c>
      <c r="H18" s="3" t="s">
        <v>26</v>
      </c>
      <c r="I18" s="3">
        <v>594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 t="s">
        <v>26</v>
      </c>
      <c r="D19" s="6" t="s">
        <v>26</v>
      </c>
      <c r="E19" s="3">
        <v>2438</v>
      </c>
      <c r="F19" s="3" t="s">
        <v>26</v>
      </c>
      <c r="G19" s="3" t="s">
        <v>26</v>
      </c>
      <c r="H19" s="3" t="s">
        <v>26</v>
      </c>
      <c r="I19" s="3">
        <v>1302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 t="s">
        <v>26</v>
      </c>
      <c r="D20" s="6" t="s">
        <v>26</v>
      </c>
      <c r="E20" s="3">
        <v>5516</v>
      </c>
      <c r="F20" s="3" t="s">
        <v>26</v>
      </c>
      <c r="G20" s="3" t="s">
        <v>26</v>
      </c>
      <c r="H20" s="3" t="s">
        <v>26</v>
      </c>
      <c r="I20" s="3">
        <v>2743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 t="s">
        <v>26</v>
      </c>
      <c r="D21" s="6" t="s">
        <v>26</v>
      </c>
      <c r="E21" s="19">
        <v>10043</v>
      </c>
      <c r="F21" s="3" t="s">
        <v>26</v>
      </c>
      <c r="G21" s="3" t="s">
        <v>26</v>
      </c>
      <c r="H21" s="3" t="s">
        <v>26</v>
      </c>
      <c r="I21" s="3">
        <v>5257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26</v>
      </c>
      <c r="D22" s="6" t="s">
        <v>26</v>
      </c>
      <c r="E22" s="19" t="s">
        <v>27</v>
      </c>
      <c r="F22" s="3" t="s">
        <v>26</v>
      </c>
      <c r="G22" s="3" t="s">
        <v>26</v>
      </c>
      <c r="H22" s="3" t="s">
        <v>26</v>
      </c>
      <c r="I22" s="3">
        <v>10240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26</v>
      </c>
      <c r="D23" s="6" t="s">
        <v>26</v>
      </c>
      <c r="E23" s="19" t="s">
        <v>27</v>
      </c>
      <c r="F23" s="3" t="s">
        <v>26</v>
      </c>
      <c r="G23" s="3" t="s">
        <v>26</v>
      </c>
      <c r="H23" s="3" t="s">
        <v>26</v>
      </c>
      <c r="I23" s="3">
        <v>24833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26</v>
      </c>
      <c r="D24" s="6" t="s">
        <v>26</v>
      </c>
      <c r="E24" s="19" t="s">
        <v>27</v>
      </c>
      <c r="F24" s="3" t="s">
        <v>26</v>
      </c>
      <c r="G24" s="3" t="s">
        <v>26</v>
      </c>
      <c r="H24" s="3" t="s">
        <v>26</v>
      </c>
      <c r="I24" s="3">
        <v>49412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26</v>
      </c>
      <c r="D25" s="6" t="s">
        <v>26</v>
      </c>
      <c r="E25" s="19" t="s">
        <v>27</v>
      </c>
      <c r="F25" s="3" t="s">
        <v>26</v>
      </c>
      <c r="G25" s="3" t="s">
        <v>26</v>
      </c>
      <c r="H25" s="3" t="s">
        <v>26</v>
      </c>
      <c r="I25" s="3">
        <v>93042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26</v>
      </c>
      <c r="D26" s="20" t="s">
        <v>26</v>
      </c>
      <c r="E26" s="19" t="s">
        <v>27</v>
      </c>
      <c r="F26" s="3" t="s">
        <v>26</v>
      </c>
      <c r="G26" s="3" t="s">
        <v>26</v>
      </c>
      <c r="H26" s="3" t="s">
        <v>26</v>
      </c>
      <c r="I26" s="3">
        <v>181159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26</v>
      </c>
      <c r="D27" s="20" t="s">
        <v>26</v>
      </c>
      <c r="E27" s="19" t="s">
        <v>27</v>
      </c>
      <c r="F27" s="19" t="s">
        <v>26</v>
      </c>
      <c r="G27" s="3" t="s">
        <v>26</v>
      </c>
      <c r="H27" s="3" t="s">
        <v>26</v>
      </c>
      <c r="I27" s="3">
        <v>374712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141</v>
      </c>
      <c r="D5" s="6">
        <v>9</v>
      </c>
      <c r="E5" s="3">
        <v>19</v>
      </c>
      <c r="F5" s="3">
        <v>147</v>
      </c>
      <c r="G5" s="3">
        <v>18</v>
      </c>
      <c r="H5" s="3">
        <v>4</v>
      </c>
      <c r="I5" s="3">
        <v>32</v>
      </c>
      <c r="J5" s="5" t="str" cm="1">
        <f t="array" ref="J5">IFERROR(TRIM(INDEX(C$4:I$4,MATCH(MIN(IFERROR(C5:I5,"")),C5:I5,0))),"n/a")</f>
        <v>cHashD
(predict 38.5%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21</v>
      </c>
      <c r="D6" s="6">
        <v>9</v>
      </c>
      <c r="E6" s="3">
        <v>12</v>
      </c>
      <c r="F6" s="3">
        <v>6</v>
      </c>
      <c r="G6" s="3">
        <v>6</v>
      </c>
      <c r="H6" s="3">
        <v>6</v>
      </c>
      <c r="I6" s="3">
        <v>424</v>
      </c>
      <c r="J6" s="5" t="str" cm="1">
        <f t="array" ref="J6">IFERROR(TRIM(INDEX(C$4:I$4,MATCH(MIN(IFERROR(C6:I6,"")),C6:I6,0))),"n/a")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12</v>
      </c>
      <c r="D7" s="6">
        <v>14</v>
      </c>
      <c r="E7" s="3">
        <v>11</v>
      </c>
      <c r="F7" s="3">
        <v>12</v>
      </c>
      <c r="G7" s="3">
        <v>8</v>
      </c>
      <c r="H7" s="3">
        <v>7</v>
      </c>
      <c r="I7" s="3">
        <v>37</v>
      </c>
      <c r="J7" s="5" t="str" cm="1">
        <f t="array" ref="J7">IFERROR(TRIM(INDEX(C$4:I$4,MATCH(MIN(IFERROR(C7:I7,"")),C7:I7,0))),"n/a")</f>
        <v>cHashD
(predict 38.5%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18</v>
      </c>
      <c r="D8" s="6">
        <v>14</v>
      </c>
      <c r="E8" s="3">
        <v>16</v>
      </c>
      <c r="F8" s="3">
        <v>12</v>
      </c>
      <c r="G8" s="3">
        <v>11</v>
      </c>
      <c r="H8" s="3">
        <v>14</v>
      </c>
      <c r="I8" s="3">
        <v>39</v>
      </c>
      <c r="J8" s="5" t="str" cm="1">
        <f t="array" ref="J8">IFERROR(TRIM(INDEX(C$4:I$4,MATCH(MIN(IFERROR(C8:I8,"")),C8:I8,0))),"n/a")</f>
        <v>cHashD
(predict 10% load)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31</v>
      </c>
      <c r="D9" s="6">
        <v>19</v>
      </c>
      <c r="E9" s="3">
        <v>18</v>
      </c>
      <c r="F9" s="3">
        <v>18</v>
      </c>
      <c r="G9" s="3">
        <v>20</v>
      </c>
      <c r="H9" s="3">
        <v>18</v>
      </c>
      <c r="I9" s="3">
        <v>42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54</v>
      </c>
      <c r="D10" s="6">
        <v>32</v>
      </c>
      <c r="E10" s="3">
        <v>24</v>
      </c>
      <c r="F10" s="3">
        <v>39</v>
      </c>
      <c r="G10" s="3">
        <v>36</v>
      </c>
      <c r="H10" s="3">
        <v>41</v>
      </c>
      <c r="I10" s="3">
        <v>63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107</v>
      </c>
      <c r="D11" s="6">
        <v>59</v>
      </c>
      <c r="E11" s="3">
        <v>36</v>
      </c>
      <c r="F11" s="3">
        <v>60</v>
      </c>
      <c r="G11" s="3">
        <v>68</v>
      </c>
      <c r="H11" s="3">
        <v>62</v>
      </c>
      <c r="I11" s="3">
        <v>90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215</v>
      </c>
      <c r="D12" s="6">
        <v>127</v>
      </c>
      <c r="E12" s="3">
        <v>70</v>
      </c>
      <c r="F12" s="3">
        <v>156</v>
      </c>
      <c r="G12" s="3">
        <v>124</v>
      </c>
      <c r="H12" s="3">
        <v>123</v>
      </c>
      <c r="I12" s="3">
        <v>161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434</v>
      </c>
      <c r="D13" s="6">
        <v>248</v>
      </c>
      <c r="E13" s="3">
        <v>137</v>
      </c>
      <c r="F13" s="3">
        <v>215</v>
      </c>
      <c r="G13" s="3">
        <v>219</v>
      </c>
      <c r="H13" s="3">
        <v>243</v>
      </c>
      <c r="I13" s="3">
        <v>290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962</v>
      </c>
      <c r="D14" s="6">
        <v>531</v>
      </c>
      <c r="E14" s="3">
        <v>328</v>
      </c>
      <c r="F14" s="3">
        <v>422</v>
      </c>
      <c r="G14" s="3">
        <v>443</v>
      </c>
      <c r="H14" s="3">
        <v>477</v>
      </c>
      <c r="I14" s="3">
        <v>536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2477</v>
      </c>
      <c r="D15" s="6">
        <v>1191</v>
      </c>
      <c r="E15" s="3">
        <v>1118</v>
      </c>
      <c r="F15" s="3">
        <v>816</v>
      </c>
      <c r="G15" s="3">
        <v>871</v>
      </c>
      <c r="H15" s="3">
        <v>898</v>
      </c>
      <c r="I15" s="3">
        <v>1019</v>
      </c>
      <c r="J15" s="5" t="str" cm="1">
        <f t="array" ref="J15">IFERROR(TRIM(INDEX(C$4:I$4,MATCH(MIN(IFERROR(C15:I15,"")),C15:I15,0))),"n/a")</f>
        <v>cHashD (16384)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6696</v>
      </c>
      <c r="D16" s="6">
        <v>2730</v>
      </c>
      <c r="E16" s="3">
        <v>4010</v>
      </c>
      <c r="F16" s="3">
        <v>1687</v>
      </c>
      <c r="G16" s="3">
        <v>1684</v>
      </c>
      <c r="H16" s="3">
        <v>1831</v>
      </c>
      <c r="I16" s="3">
        <v>2101</v>
      </c>
      <c r="J16" s="5" t="str" cm="1">
        <f t="array" ref="J16">IFERROR(TRIM(INDEX(C$4:I$4,MATCH(MIN(IFERROR(C16:I16,"")),C16:I16,0))),"n/a")</f>
        <v>cHashD
(predict 10%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19963</v>
      </c>
      <c r="D17" s="6">
        <v>5756</v>
      </c>
      <c r="E17" s="3">
        <v>14503</v>
      </c>
      <c r="F17" s="3">
        <v>3542</v>
      </c>
      <c r="G17" s="3">
        <v>3558</v>
      </c>
      <c r="H17" s="3">
        <v>3615</v>
      </c>
      <c r="I17" s="3">
        <v>3913</v>
      </c>
      <c r="J17" s="5" t="str" cm="1">
        <f t="array" ref="J17">IFERROR(TRIM(INDEX(C$4:I$4,MATCH(MIN(IFERROR(C17:I17,"")),C17:I17,0))),"n/a")</f>
        <v>cHashD (16384)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68205</v>
      </c>
      <c r="D18" s="6">
        <v>12942</v>
      </c>
      <c r="E18" s="3">
        <v>55300</v>
      </c>
      <c r="F18" s="3">
        <v>7550</v>
      </c>
      <c r="G18" s="3">
        <v>7771</v>
      </c>
      <c r="H18" s="3">
        <v>7390</v>
      </c>
      <c r="I18" s="3">
        <v>8294</v>
      </c>
      <c r="J18" s="5" t="str" cm="1">
        <f t="array" ref="J18">IFERROR(TRIM(INDEX(C$4:I$4,MATCH(MIN(IFERROR(C18:I18,"")),C18:I18,0))),"n/a")</f>
        <v>cHashD
(predict 38.5%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255578</v>
      </c>
      <c r="D19" s="6">
        <v>27890</v>
      </c>
      <c r="E19" s="3">
        <v>232385</v>
      </c>
      <c r="F19" s="3">
        <v>15112</v>
      </c>
      <c r="G19" s="3">
        <v>15027</v>
      </c>
      <c r="H19" s="3">
        <v>15368</v>
      </c>
      <c r="I19" s="3">
        <v>16741</v>
      </c>
      <c r="J19" s="5" t="str" cm="1">
        <f t="array" ref="J19">IFERROR(TRIM(INDEX(C$4:I$4,MATCH(MIN(IFERROR(C19:I19,"")),C19:I19,0))),"n/a")</f>
        <v>cHashD
(predict 10%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1027191</v>
      </c>
      <c r="D20" s="6">
        <v>64716</v>
      </c>
      <c r="E20" s="3">
        <v>993158</v>
      </c>
      <c r="F20" s="3">
        <v>30630</v>
      </c>
      <c r="G20" s="3">
        <v>30186</v>
      </c>
      <c r="H20" s="3">
        <v>30943</v>
      </c>
      <c r="I20" s="3">
        <v>34497</v>
      </c>
      <c r="J20" s="5" t="str" cm="1">
        <f t="array" ref="J20">IFERROR(TRIM(INDEX(C$4:I$4,MATCH(MIN(IFERROR(C20:I20,"")),C20:I20,0))),"n/a")</f>
        <v>cHashD
(predict 10%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4914712</v>
      </c>
      <c r="D21" s="6">
        <v>141255</v>
      </c>
      <c r="E21" s="19">
        <v>4139215</v>
      </c>
      <c r="F21" s="3">
        <v>66126</v>
      </c>
      <c r="G21" s="3">
        <v>62012</v>
      </c>
      <c r="H21" s="3">
        <v>62830</v>
      </c>
      <c r="I21" s="3">
        <v>67826</v>
      </c>
      <c r="J21" s="5" t="str" cm="1">
        <f t="array" ref="J21">IFERROR(TRIM(INDEX(C$4:I$4,MATCH(MIN(IFERROR(C21:I21,"")),C21:I21,0))),"n/a")</f>
        <v>cHashD
(predict 10%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322905</v>
      </c>
      <c r="E22" s="19" t="s">
        <v>27</v>
      </c>
      <c r="F22" s="3">
        <v>149508</v>
      </c>
      <c r="G22" s="3">
        <v>126131</v>
      </c>
      <c r="H22" s="3">
        <v>130754</v>
      </c>
      <c r="I22" s="3">
        <v>141077</v>
      </c>
      <c r="J22" s="5" t="str" cm="1">
        <f t="array" ref="J22">IFERROR(TRIM(INDEX(C$4:I$4,MATCH(MIN(IFERROR(C22:I22,"")),C22:I22,0))),"n/a")</f>
        <v>cHashD
(predict 10%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710300</v>
      </c>
      <c r="E23" s="19" t="s">
        <v>27</v>
      </c>
      <c r="F23" s="3">
        <v>363894</v>
      </c>
      <c r="G23" s="3">
        <v>257836</v>
      </c>
      <c r="H23" s="3">
        <v>271641</v>
      </c>
      <c r="I23" s="3">
        <v>282719</v>
      </c>
      <c r="J23" s="5" t="str" cm="1">
        <f t="array" ref="J23">IFERROR(TRIM(INDEX(C$4:I$4,MATCH(MIN(IFERROR(C23:I23,"")),C23:I23,0))),"n/a")</f>
        <v>cHashD
(predict 10%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1616502</v>
      </c>
      <c r="E24" s="19" t="s">
        <v>27</v>
      </c>
      <c r="F24" s="3">
        <v>918302</v>
      </c>
      <c r="G24" s="3">
        <v>522954</v>
      </c>
      <c r="H24" s="3">
        <v>537892</v>
      </c>
      <c r="I24" s="3">
        <v>572318</v>
      </c>
      <c r="J24" s="5" t="str" cm="1">
        <f t="array" ref="J24">IFERROR(TRIM(INDEX(C$4:I$4,MATCH(MIN(IFERROR(C24:I24,"")),C24:I24,0))),"n/a")</f>
        <v>cHashD
(predict 10%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1083783</v>
      </c>
      <c r="H25" s="3">
        <v>1087310</v>
      </c>
      <c r="I25" s="3">
        <v>1161251</v>
      </c>
      <c r="J25" s="5" t="str" cm="1">
        <f t="array" ref="J25">IFERROR(TRIM(INDEX(C$4:I$4,MATCH(MIN(IFERROR(C25:I25,"")),C25:I25,0))),"n/a")</f>
        <v>cHashD
(predict 10%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2385456</v>
      </c>
      <c r="H26" s="3">
        <v>2359030</v>
      </c>
      <c r="I26" s="3">
        <v>2320201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5453018</v>
      </c>
      <c r="H27" s="3">
        <v>5433940</v>
      </c>
      <c r="I27" s="3">
        <v>4691372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mera">
    <tabColor rgb="FFFFC000"/>
  </sheetPr>
  <dimension ref="K53"/>
  <sheetViews>
    <sheetView showGridLines="0" showRowColHeaders="0" tabSelected="1" zoomScale="55" zoomScaleNormal="55" workbookViewId="0">
      <selection activeCell="K53" sqref="K53"/>
    </sheetView>
  </sheetViews>
  <sheetFormatPr defaultRowHeight="15" x14ac:dyDescent="0.25"/>
  <sheetData>
    <row r="53" spans="11:11" ht="33.75" x14ac:dyDescent="0.5">
      <c r="K53" s="26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2024-04-19T09:40:29Z</dcterms:modified>
</cp:coreProperties>
</file>