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bre-my.sharepoint.com/personal/cristian_buse_cbre_com/Documents/Library/VBA/_GitHub/VBA-FastDictionary/benchmarking/"/>
    </mc:Choice>
  </mc:AlternateContent>
  <xr:revisionPtr revIDLastSave="5026" documentId="14_{642A6331-AA49-4D6B-AC80-F233D4EB852C}" xr6:coauthVersionLast="47" xr6:coauthVersionMax="47" xr10:uidLastSave="{4031CE31-ABEC-4EA1-AFFE-82B801CFFB25}"/>
  <bookViews>
    <workbookView xWindow="-120" yWindow="-120" windowWidth="29040" windowHeight="15840" tabRatio="706" activeTab="8" xr2:uid="{00000000-000D-0000-FFFF-FFFF00000000}"/>
  </bookViews>
  <sheets>
    <sheet name="Add" sheetId="4" r:id="rId1"/>
    <sheet name="Exists (True)" sheetId="12" r:id="rId2"/>
    <sheet name="Exists (False)" sheetId="13" r:id="rId3"/>
    <sheet name="Item (Get)" sheetId="14" r:id="rId4"/>
    <sheet name="Item (Let)" sheetId="15" r:id="rId5"/>
    <sheet name="Key (Let)" sheetId="16" r:id="rId6"/>
    <sheet name="For Each" sheetId="17" r:id="rId7"/>
    <sheet name="Remove" sheetId="18" r:id="rId8"/>
    <sheet name="Camera" sheetId="19" r:id="rId9"/>
  </sheets>
  <definedNames>
    <definedName name="_xlpm.c" hidden="1" xlm="1">#NAME?</definedName>
    <definedName name="_xlpm.l" hidden="1" xlm="1">#NAME?</definedName>
    <definedName name="_xlpm.r" hidden="1" xlm="1">#NAME?</definedName>
    <definedName name="_xlpm.s" hidden="1" xlm="1">#NAME?</definedName>
    <definedName name="_xlpm.t" hidden="1" xlm="1">#NAME?</definedName>
    <definedName name="_xlpm.v" hidden="1" xlm="1">#NAME?</definedName>
    <definedName name="Footnote">"* Each row has it's own scale of colors and it's independent from any other row. 'Green' represents fastest value within it's row."</definedName>
    <definedName name="KeyType">"Number (Long small)"</definedName>
    <definedName name="Results" localSheetId="0">Add!$B$5:$J$29</definedName>
    <definedName name="Results" localSheetId="2">'Exists (False)'!$B$5:$I$29</definedName>
    <definedName name="Results" localSheetId="1">'Exists (True)'!$B$5:$I$29</definedName>
    <definedName name="Results" localSheetId="6">'For Each'!$B$5:$I$29</definedName>
    <definedName name="Results" localSheetId="3">'Item (Get)'!$B$5:$I$29</definedName>
    <definedName name="Results" localSheetId="4">'Item (Let)'!$B$5:$I$29</definedName>
    <definedName name="Results" localSheetId="5">'Key (Let)'!$B$5:$I$29</definedName>
    <definedName name="Results" localSheetId="7">Remove!$B$5:$I$29</definedName>
    <definedName name="VBInfo">"Win VBA7 x64"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9" i="12" l="1" a="1"/>
  <c r="J29" i="12" s="1"/>
  <c r="J28" i="12" a="1"/>
  <c r="J28" i="12" s="1"/>
  <c r="J27" i="12" a="1"/>
  <c r="J27" i="12" s="1"/>
  <c r="J26" i="12" a="1"/>
  <c r="J26" i="12" s="1"/>
  <c r="J25" i="12" a="1"/>
  <c r="J25" i="12" s="1"/>
  <c r="J24" i="12" a="1"/>
  <c r="J24" i="12" s="1"/>
  <c r="J23" i="12" a="1"/>
  <c r="J23" i="12" s="1"/>
  <c r="J22" i="12" a="1"/>
  <c r="J22" i="12" s="1"/>
  <c r="J21" i="12" a="1"/>
  <c r="J21" i="12" s="1"/>
  <c r="J20" i="12" a="1"/>
  <c r="J20" i="12" s="1"/>
  <c r="J19" i="12" a="1"/>
  <c r="J19" i="12" s="1"/>
  <c r="J18" i="12" a="1"/>
  <c r="J18" i="12" s="1"/>
  <c r="J17" i="12" a="1"/>
  <c r="J17" i="12" s="1"/>
  <c r="J16" i="12" a="1"/>
  <c r="J16" i="12" s="1"/>
  <c r="J15" i="12" a="1"/>
  <c r="J15" i="12" s="1"/>
  <c r="J14" i="12" a="1"/>
  <c r="J14" i="12" s="1"/>
  <c r="J13" i="12" a="1"/>
  <c r="J13" i="12" s="1"/>
  <c r="J12" i="12" a="1"/>
  <c r="J12" i="12" s="1"/>
  <c r="J11" i="12" a="1"/>
  <c r="J11" i="12" s="1"/>
  <c r="J10" i="12" a="1"/>
  <c r="J10" i="12" s="1"/>
  <c r="J9" i="12" a="1"/>
  <c r="J9" i="12" s="1"/>
  <c r="J8" i="12" a="1"/>
  <c r="J8" i="12" s="1"/>
  <c r="J7" i="12" a="1"/>
  <c r="J7" i="12" s="1"/>
  <c r="J6" i="12" a="1"/>
  <c r="J6" i="12" s="1"/>
  <c r="J29" i="13" a="1"/>
  <c r="J29" i="13" s="1"/>
  <c r="J28" i="13" a="1"/>
  <c r="J28" i="13" s="1"/>
  <c r="J27" i="13" a="1"/>
  <c r="J27" i="13" s="1"/>
  <c r="J26" i="13" a="1"/>
  <c r="J26" i="13" s="1"/>
  <c r="J25" i="13" a="1"/>
  <c r="J25" i="13" s="1"/>
  <c r="J24" i="13" a="1"/>
  <c r="J24" i="13" s="1"/>
  <c r="J23" i="13" a="1"/>
  <c r="J23" i="13" s="1"/>
  <c r="J22" i="13" a="1"/>
  <c r="J22" i="13" s="1"/>
  <c r="J21" i="13" a="1"/>
  <c r="J21" i="13" s="1"/>
  <c r="J20" i="13" a="1"/>
  <c r="J20" i="13" s="1"/>
  <c r="J19" i="13" a="1"/>
  <c r="J19" i="13" s="1"/>
  <c r="J18" i="13" a="1"/>
  <c r="J18" i="13" s="1"/>
  <c r="J17" i="13" a="1"/>
  <c r="J17" i="13" s="1"/>
  <c r="J16" i="13" a="1"/>
  <c r="J16" i="13" s="1"/>
  <c r="J15" i="13" a="1"/>
  <c r="J15" i="13" s="1"/>
  <c r="J14" i="13" a="1"/>
  <c r="J14" i="13" s="1"/>
  <c r="J13" i="13" a="1"/>
  <c r="J13" i="13" s="1"/>
  <c r="J12" i="13" a="1"/>
  <c r="J12" i="13" s="1"/>
  <c r="J11" i="13" a="1"/>
  <c r="J11" i="13" s="1"/>
  <c r="J10" i="13" a="1"/>
  <c r="J10" i="13" s="1"/>
  <c r="J9" i="13" a="1"/>
  <c r="J9" i="13" s="1"/>
  <c r="J8" i="13" a="1"/>
  <c r="J8" i="13" s="1"/>
  <c r="J7" i="13" a="1"/>
  <c r="J7" i="13" s="1"/>
  <c r="J6" i="13" a="1"/>
  <c r="J6" i="13" s="1"/>
  <c r="J29" i="14" a="1"/>
  <c r="J29" i="14" s="1"/>
  <c r="J28" i="14" a="1"/>
  <c r="J28" i="14" s="1"/>
  <c r="J27" i="14" a="1"/>
  <c r="J27" i="14" s="1"/>
  <c r="J26" i="14" a="1"/>
  <c r="J26" i="14" s="1"/>
  <c r="J25" i="14" a="1"/>
  <c r="J25" i="14" s="1"/>
  <c r="J24" i="14" a="1"/>
  <c r="J24" i="14" s="1"/>
  <c r="J23" i="14" a="1"/>
  <c r="J23" i="14" s="1"/>
  <c r="J22" i="14" a="1"/>
  <c r="J22" i="14" s="1"/>
  <c r="J21" i="14" a="1"/>
  <c r="J21" i="14" s="1"/>
  <c r="J20" i="14" a="1"/>
  <c r="J20" i="14" s="1"/>
  <c r="J19" i="14" a="1"/>
  <c r="J19" i="14" s="1"/>
  <c r="J18" i="14" a="1"/>
  <c r="J18" i="14" s="1"/>
  <c r="J17" i="14" a="1"/>
  <c r="J17" i="14" s="1"/>
  <c r="J16" i="14" a="1"/>
  <c r="J16" i="14" s="1"/>
  <c r="J15" i="14" a="1"/>
  <c r="J15" i="14" s="1"/>
  <c r="J14" i="14" a="1"/>
  <c r="J14" i="14" s="1"/>
  <c r="J13" i="14" a="1"/>
  <c r="J13" i="14" s="1"/>
  <c r="J12" i="14" a="1"/>
  <c r="J12" i="14" s="1"/>
  <c r="J11" i="14" a="1"/>
  <c r="J11" i="14" s="1"/>
  <c r="J10" i="14" a="1"/>
  <c r="J10" i="14" s="1"/>
  <c r="J9" i="14" a="1"/>
  <c r="J9" i="14" s="1"/>
  <c r="J8" i="14" a="1"/>
  <c r="J8" i="14" s="1"/>
  <c r="J7" i="14" a="1"/>
  <c r="J7" i="14" s="1"/>
  <c r="J6" i="14" a="1"/>
  <c r="J6" i="14" s="1"/>
  <c r="J29" i="15" a="1"/>
  <c r="J29" i="15" s="1"/>
  <c r="J28" i="15" a="1"/>
  <c r="J28" i="15" s="1"/>
  <c r="J27" i="15" a="1"/>
  <c r="J27" i="15" s="1"/>
  <c r="J26" i="15" a="1"/>
  <c r="J26" i="15" s="1"/>
  <c r="J25" i="15" a="1"/>
  <c r="J25" i="15" s="1"/>
  <c r="J24" i="15" a="1"/>
  <c r="J24" i="15" s="1"/>
  <c r="J23" i="15" a="1"/>
  <c r="J23" i="15" s="1"/>
  <c r="J22" i="15" a="1"/>
  <c r="J22" i="15" s="1"/>
  <c r="J21" i="15" a="1"/>
  <c r="J21" i="15" s="1"/>
  <c r="J20" i="15" a="1"/>
  <c r="J20" i="15" s="1"/>
  <c r="J19" i="15" a="1"/>
  <c r="J19" i="15" s="1"/>
  <c r="J18" i="15" a="1"/>
  <c r="J18" i="15" s="1"/>
  <c r="J17" i="15" a="1"/>
  <c r="J17" i="15" s="1"/>
  <c r="J16" i="15" a="1"/>
  <c r="J16" i="15" s="1"/>
  <c r="J15" i="15" a="1"/>
  <c r="J15" i="15" s="1"/>
  <c r="J14" i="15" a="1"/>
  <c r="J14" i="15" s="1"/>
  <c r="J13" i="15" a="1"/>
  <c r="J13" i="15" s="1"/>
  <c r="J12" i="15" a="1"/>
  <c r="J12" i="15" s="1"/>
  <c r="J11" i="15" a="1"/>
  <c r="J11" i="15" s="1"/>
  <c r="J10" i="15" a="1"/>
  <c r="J10" i="15" s="1"/>
  <c r="J9" i="15" a="1"/>
  <c r="J9" i="15" s="1"/>
  <c r="J8" i="15" a="1"/>
  <c r="J8" i="15" s="1"/>
  <c r="J7" i="15" a="1"/>
  <c r="J7" i="15" s="1"/>
  <c r="J6" i="15" a="1"/>
  <c r="J6" i="15" s="1"/>
  <c r="J29" i="16" a="1"/>
  <c r="J29" i="16" s="1"/>
  <c r="J28" i="16" a="1"/>
  <c r="J28" i="16" s="1"/>
  <c r="J27" i="16" a="1"/>
  <c r="J27" i="16" s="1"/>
  <c r="J26" i="16" a="1"/>
  <c r="J26" i="16" s="1"/>
  <c r="J25" i="16" a="1"/>
  <c r="J25" i="16" s="1"/>
  <c r="J24" i="16" a="1"/>
  <c r="J24" i="16" s="1"/>
  <c r="J23" i="16" a="1"/>
  <c r="J23" i="16" s="1"/>
  <c r="J22" i="16" a="1"/>
  <c r="J22" i="16" s="1"/>
  <c r="J21" i="16" a="1"/>
  <c r="J21" i="16" s="1"/>
  <c r="J20" i="16" a="1"/>
  <c r="J20" i="16" s="1"/>
  <c r="J19" i="16" a="1"/>
  <c r="J19" i="16" s="1"/>
  <c r="J18" i="16" a="1"/>
  <c r="J18" i="16" s="1"/>
  <c r="J17" i="16" a="1"/>
  <c r="J17" i="16" s="1"/>
  <c r="J16" i="16" a="1"/>
  <c r="J16" i="16" s="1"/>
  <c r="J15" i="16" a="1"/>
  <c r="J15" i="16" s="1"/>
  <c r="J14" i="16" a="1"/>
  <c r="J14" i="16" s="1"/>
  <c r="J13" i="16" a="1"/>
  <c r="J13" i="16" s="1"/>
  <c r="J12" i="16" a="1"/>
  <c r="J12" i="16" s="1"/>
  <c r="J11" i="16" a="1"/>
  <c r="J11" i="16" s="1"/>
  <c r="J10" i="16" a="1"/>
  <c r="J10" i="16" s="1"/>
  <c r="J9" i="16" a="1"/>
  <c r="J9" i="16" s="1"/>
  <c r="J8" i="16" a="1"/>
  <c r="J8" i="16" s="1"/>
  <c r="J7" i="16" a="1"/>
  <c r="J7" i="16" s="1"/>
  <c r="J6" i="16" a="1"/>
  <c r="J6" i="16" s="1"/>
  <c r="J29" i="17" a="1"/>
  <c r="J29" i="17" s="1"/>
  <c r="J28" i="17" a="1"/>
  <c r="J28" i="17" s="1"/>
  <c r="J27" i="17" a="1"/>
  <c r="J27" i="17" s="1"/>
  <c r="J26" i="17" a="1"/>
  <c r="J26" i="17" s="1"/>
  <c r="J25" i="17" a="1"/>
  <c r="J25" i="17" s="1"/>
  <c r="J24" i="17" a="1"/>
  <c r="J24" i="17" s="1"/>
  <c r="J23" i="17" a="1"/>
  <c r="J23" i="17" s="1"/>
  <c r="J22" i="17" a="1"/>
  <c r="J22" i="17" s="1"/>
  <c r="J21" i="17" a="1"/>
  <c r="J21" i="17" s="1"/>
  <c r="J20" i="17" a="1"/>
  <c r="J20" i="17" s="1"/>
  <c r="J19" i="17" a="1"/>
  <c r="J19" i="17" s="1"/>
  <c r="J18" i="17" a="1"/>
  <c r="J18" i="17" s="1"/>
  <c r="J17" i="17" a="1"/>
  <c r="J17" i="17" s="1"/>
  <c r="J16" i="17" a="1"/>
  <c r="J16" i="17" s="1"/>
  <c r="J15" i="17" a="1"/>
  <c r="J15" i="17" s="1"/>
  <c r="J14" i="17" a="1"/>
  <c r="J14" i="17" s="1"/>
  <c r="J13" i="17" a="1"/>
  <c r="J13" i="17" s="1"/>
  <c r="J12" i="17" a="1"/>
  <c r="J12" i="17" s="1"/>
  <c r="J11" i="17" a="1"/>
  <c r="J11" i="17" s="1"/>
  <c r="J10" i="17" a="1"/>
  <c r="J10" i="17" s="1"/>
  <c r="J9" i="17" a="1"/>
  <c r="J9" i="17" s="1"/>
  <c r="J8" i="17" a="1"/>
  <c r="J8" i="17" s="1"/>
  <c r="J7" i="17" a="1"/>
  <c r="J7" i="17" s="1"/>
  <c r="J6" i="17" a="1"/>
  <c r="J6" i="17" s="1"/>
  <c r="J29" i="18" a="1"/>
  <c r="J29" i="18" s="1"/>
  <c r="J28" i="18" a="1"/>
  <c r="J28" i="18" s="1"/>
  <c r="J27" i="18" a="1"/>
  <c r="J27" i="18" s="1"/>
  <c r="J26" i="18" a="1"/>
  <c r="J26" i="18" s="1"/>
  <c r="J25" i="18" a="1"/>
  <c r="J25" i="18" s="1"/>
  <c r="J24" i="18" a="1"/>
  <c r="J24" i="18" s="1"/>
  <c r="J23" i="18" a="1"/>
  <c r="J23" i="18" s="1"/>
  <c r="J22" i="18" a="1"/>
  <c r="J22" i="18" s="1"/>
  <c r="J21" i="18" a="1"/>
  <c r="J21" i="18" s="1"/>
  <c r="J20" i="18" a="1"/>
  <c r="J20" i="18" s="1"/>
  <c r="J19" i="18" a="1"/>
  <c r="J19" i="18" s="1"/>
  <c r="J18" i="18" a="1"/>
  <c r="J18" i="18" s="1"/>
  <c r="J17" i="18" a="1"/>
  <c r="J17" i="18" s="1"/>
  <c r="J16" i="18" a="1"/>
  <c r="J16" i="18" s="1"/>
  <c r="J15" i="18" a="1"/>
  <c r="J15" i="18" s="1"/>
  <c r="J14" i="18" a="1"/>
  <c r="J14" i="18" s="1"/>
  <c r="J13" i="18" a="1"/>
  <c r="J13" i="18" s="1"/>
  <c r="J12" i="18" a="1"/>
  <c r="J12" i="18" s="1"/>
  <c r="J11" i="18" a="1"/>
  <c r="J11" i="18" s="1"/>
  <c r="J10" i="18" a="1"/>
  <c r="J10" i="18" s="1"/>
  <c r="J9" i="18" a="1"/>
  <c r="J9" i="18" s="1"/>
  <c r="J8" i="18" a="1"/>
  <c r="J8" i="18" s="1"/>
  <c r="J7" i="18" a="1"/>
  <c r="J7" i="18" s="1"/>
  <c r="J6" i="18" a="1"/>
  <c r="J6" i="18" s="1"/>
  <c r="J5" i="18" a="1"/>
  <c r="J5" i="18" s="1"/>
  <c r="J5" i="17" a="1"/>
  <c r="J5" i="17" s="1"/>
  <c r="J5" i="16" a="1"/>
  <c r="J5" i="16" s="1"/>
  <c r="J5" i="15" a="1"/>
  <c r="J5" i="15" s="1"/>
  <c r="J5" i="14" a="1"/>
  <c r="J5" i="14" s="1"/>
  <c r="J5" i="13" a="1"/>
  <c r="J5" i="13" s="1"/>
  <c r="J5" i="12" a="1"/>
  <c r="J5" i="12" s="1"/>
  <c r="K29" i="4" a="1"/>
  <c r="K29" i="4" s="1"/>
  <c r="K28" i="4" a="1"/>
  <c r="K28" i="4" s="1"/>
  <c r="K27" i="4" a="1"/>
  <c r="K27" i="4" s="1"/>
  <c r="K26" i="4" a="1"/>
  <c r="K26" i="4" s="1"/>
  <c r="K25" i="4" a="1"/>
  <c r="K25" i="4" s="1"/>
  <c r="K24" i="4" a="1"/>
  <c r="K24" i="4" s="1"/>
  <c r="K23" i="4" a="1"/>
  <c r="K23" i="4" s="1"/>
  <c r="K22" i="4" a="1"/>
  <c r="K22" i="4" s="1"/>
  <c r="K21" i="4" a="1"/>
  <c r="K21" i="4" s="1"/>
  <c r="K20" i="4" a="1"/>
  <c r="K20" i="4" s="1"/>
  <c r="K19" i="4" a="1"/>
  <c r="K19" i="4" s="1"/>
  <c r="K18" i="4" a="1"/>
  <c r="K18" i="4" s="1"/>
  <c r="K17" i="4" a="1"/>
  <c r="K17" i="4" s="1"/>
  <c r="K16" i="4" a="1"/>
  <c r="K16" i="4" s="1"/>
  <c r="K15" i="4" a="1"/>
  <c r="K15" i="4" s="1"/>
  <c r="K14" i="4" a="1"/>
  <c r="K14" i="4" s="1"/>
  <c r="K13" i="4" a="1"/>
  <c r="K13" i="4" s="1"/>
  <c r="K12" i="4" a="1"/>
  <c r="K12" i="4" s="1"/>
  <c r="K11" i="4" a="1"/>
  <c r="K11" i="4" s="1"/>
  <c r="K10" i="4" a="1"/>
  <c r="K10" i="4" s="1"/>
  <c r="K9" i="4" a="1"/>
  <c r="K9" i="4" s="1"/>
  <c r="K8" i="4" a="1"/>
  <c r="K8" i="4" s="1"/>
  <c r="K7" i="4" a="1"/>
  <c r="K7" i="4" s="1"/>
  <c r="K6" i="4" a="1"/>
  <c r="K6" i="4" s="1"/>
  <c r="K5" i="4" a="1"/>
  <c r="K5" i="4" s="1"/>
  <c r="B30" i="18"/>
  <c r="B30" i="17"/>
  <c r="B30" i="16"/>
  <c r="B30" i="15"/>
  <c r="B30" i="14"/>
  <c r="B30" i="13"/>
  <c r="B30" i="12"/>
  <c r="B30" i="4"/>
  <c r="C2" i="18" l="1"/>
  <c r="C1" i="18"/>
  <c r="C2" i="17"/>
  <c r="C1" i="17"/>
  <c r="C2" i="16"/>
  <c r="C1" i="16"/>
  <c r="C2" i="15"/>
  <c r="C1" i="15"/>
  <c r="C2" i="14"/>
  <c r="C1" i="14"/>
  <c r="C2" i="13"/>
  <c r="C1" i="13"/>
  <c r="C2" i="12"/>
  <c r="C1" i="12"/>
  <c r="C2" i="4"/>
  <c r="C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<sst xmlns="http://schemas.openxmlformats.org/spreadsheetml/2006/main" count="323" uniqueCount="26">
  <si>
    <t>Fastest</t>
  </si>
  <si>
    <t>cHashD (16384)</t>
  </si>
  <si>
    <t>Items</t>
  </si>
  <si>
    <t>VBA Collection</t>
  </si>
  <si>
    <t>Tim Hall's VBA-Dictionary</t>
  </si>
  <si>
    <t>cHashD
(predict 10% load)</t>
  </si>
  <si>
    <t>cHashD
(predict 38.5% load)</t>
  </si>
  <si>
    <t>Dictionary (50% load) with predict</t>
  </si>
  <si>
    <t/>
  </si>
  <si>
    <t>Scripting Dictionary (early-binded)</t>
  </si>
  <si>
    <t>Dictionary (50% load) with rehash</t>
  </si>
  <si>
    <t>Results are displayed in MICROSECONDS</t>
  </si>
  <si>
    <t>Operation:</t>
  </si>
  <si>
    <t>Add</t>
  </si>
  <si>
    <t>Exists (True)</t>
  </si>
  <si>
    <t>Exists (False)</t>
  </si>
  <si>
    <t>Item (Get)</t>
  </si>
  <si>
    <t>Item (Let)</t>
  </si>
  <si>
    <t>Key (Let)</t>
  </si>
  <si>
    <t>For Each</t>
  </si>
  <si>
    <t>Remove</t>
  </si>
  <si>
    <t>Please note Collection does support For Each but not for Keys</t>
  </si>
  <si>
    <t>VB Info:</t>
  </si>
  <si>
    <t>Key Type:</t>
  </si>
  <si>
    <t>Dictionary (50% load)</t>
  </si>
  <si>
    <t>Press Alt+F8 to bring up the Macros dialog to run bench tests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</si>
</sst>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rgb="FFFF00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00B05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3" fontId="0" fillId="0" borderId="0" xfId="0" applyNumberFormat="1"/>
    <xf numFmtId="10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0" fontId="0" fillId="0" borderId="6" xfId="0" applyBorder="1"/>
    <xf numFmtId="3" fontId="0" fillId="0" borderId="0" xfId="0" applyNumberFormat="1" applyBorder="1" applyAlignment="1"/>
    <xf numFmtId="0" fontId="0" fillId="0" borderId="0" xfId="0" applyAlignment="1"/>
    <xf numFmtId="0" fontId="1" fillId="3" borderId="4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3" fontId="0" fillId="0" borderId="7" xfId="0" applyNumberFormat="1" applyBorder="1"/>
    <xf numFmtId="3" fontId="0" fillId="0" borderId="2" xfId="0" applyNumberFormat="1" applyBorder="1"/>
    <xf numFmtId="0" fontId="0" fillId="0" borderId="8" xfId="0" applyBorder="1"/>
    <xf numFmtId="0" fontId="0" fillId="0" borderId="0" xfId="0" quotePrefix="1"/>
    <xf numFmtId="0" fontId="2" fillId="0" borderId="0" xfId="0" applyFont="1"/>
    <xf numFmtId="0" fontId="3" fillId="0" borderId="0" xfId="0" applyFont="1" applyAlignment="1">
      <alignment horizontal="right"/>
    </xf>
    <xf numFmtId="3" fontId="0" fillId="0" borderId="3" xfId="0" quotePrefix="1" applyNumberFormat="1" applyBorder="1"/>
    <xf numFmtId="3" fontId="0" fillId="0" borderId="0" xfId="0" quotePrefix="1" applyNumberFormat="1" applyBorder="1"/>
    <xf numFmtId="3" fontId="0" fillId="0" borderId="0" xfId="0" quotePrefix="1" applyNumberFormat="1" applyBorder="1" applyAlignment="1"/>
    <xf numFmtId="3" fontId="0" fillId="0" borderId="7" xfId="0" quotePrefix="1" applyNumberFormat="1" applyBorder="1"/>
    <xf numFmtId="3" fontId="0" fillId="0" borderId="2" xfId="0" quotePrefix="1" applyNumberFormat="1" applyBorder="1" applyAlignment="1"/>
    <xf numFmtId="3" fontId="0" fillId="0" borderId="2" xfId="0" quotePrefix="1" applyNumberFormat="1" applyBorder="1"/>
    <xf numFmtId="0" fontId="4" fillId="0" borderId="0" xfId="0" applyFont="1"/>
    <xf numFmtId="0" fontId="0" fillId="0" borderId="0" xfId="0" applyFont="1"/>
    <xf numFmtId="0" fontId="5" fillId="0" borderId="0" xfId="1" applyFont="1"/>
  </cellXfs>
  <cellStyles count="2">
    <cellStyle name="Normal" xfId="0" builtinId="0"/>
    <cellStyle name="Warning Text" xfId="1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51</xdr:row>
          <xdr:rowOff>0</xdr:rowOff>
        </xdr:from>
        <xdr:to>
          <xdr:col>8</xdr:col>
          <xdr:colOff>333375</xdr:colOff>
          <xdr:row>54</xdr:row>
          <xdr:rowOff>85725</xdr:rowOff>
        </xdr:to>
        <xdr:sp macro="" textlink="">
          <xdr:nvSpPr>
            <xdr:cNvPr id="28859" name="Button 1211" hidden="1">
              <a:extLst>
                <a:ext uri="{63B3BB69-23CF-44E3-9099-C40C66FF867C}">
                  <a14:compatExt spid="_x0000_s28859"/>
                </a:ext>
                <a:ext uri="{FF2B5EF4-FFF2-40B4-BE49-F238E27FC236}">
                  <a16:creationId xmlns:a16="http://schemas.microsoft.com/office/drawing/2014/main" id="{00000000-0008-0000-0800-0000B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Screenshots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13</xdr:col>
          <xdr:colOff>95250</xdr:colOff>
          <xdr:row>24</xdr:row>
          <xdr:rowOff>0</xdr:rowOff>
        </xdr:to>
        <xdr:pic>
          <xdr:nvPicPr>
            <xdr:cNvPr id="29428" name="add">
              <a:extLst>
                <a:ext uri="{FF2B5EF4-FFF2-40B4-BE49-F238E27FC236}">
                  <a16:creationId xmlns:a16="http://schemas.microsoft.com/office/drawing/2014/main" id="{00000000-0008-0000-0800-0000F4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dd!$A$1:$L$30" spid="_x0000_s471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0"/>
              <a:ext cx="8020050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25</xdr:col>
          <xdr:colOff>600075</xdr:colOff>
          <xdr:row>23</xdr:row>
          <xdr:rowOff>190500</xdr:rowOff>
        </xdr:to>
        <xdr:pic>
          <xdr:nvPicPr>
            <xdr:cNvPr id="29429" name="exists(true)">
              <a:extLst>
                <a:ext uri="{FF2B5EF4-FFF2-40B4-BE49-F238E27FC236}">
                  <a16:creationId xmlns:a16="http://schemas.microsoft.com/office/drawing/2014/main" id="{00000000-0008-0000-0800-0000F5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Exists (True)'!$A$1:$K$30" spid="_x0000_s4718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5344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11</xdr:col>
          <xdr:colOff>600075</xdr:colOff>
          <xdr:row>48</xdr:row>
          <xdr:rowOff>190500</xdr:rowOff>
        </xdr:to>
        <xdr:pic>
          <xdr:nvPicPr>
            <xdr:cNvPr id="29430" name="exists(false)">
              <a:extLst>
                <a:ext uri="{FF2B5EF4-FFF2-40B4-BE49-F238E27FC236}">
                  <a16:creationId xmlns:a16="http://schemas.microsoft.com/office/drawing/2014/main" id="{00000000-0008-0000-0800-0000F6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Exists (False)'!$A$1:$K$30" spid="_x0000_s47190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0</xdr:rowOff>
        </xdr:from>
        <xdr:to>
          <xdr:col>25</xdr:col>
          <xdr:colOff>600075</xdr:colOff>
          <xdr:row>48</xdr:row>
          <xdr:rowOff>190500</xdr:rowOff>
        </xdr:to>
        <xdr:pic>
          <xdr:nvPicPr>
            <xdr:cNvPr id="29431" name="item(get)">
              <a:extLst>
                <a:ext uri="{FF2B5EF4-FFF2-40B4-BE49-F238E27FC236}">
                  <a16:creationId xmlns:a16="http://schemas.microsoft.com/office/drawing/2014/main" id="{00000000-0008-0000-0800-0000F7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Item (Get)'!$A$1:$K$30" spid="_x0000_s47191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85344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0</xdr:row>
          <xdr:rowOff>0</xdr:rowOff>
        </xdr:from>
        <xdr:to>
          <xdr:col>38</xdr:col>
          <xdr:colOff>600075</xdr:colOff>
          <xdr:row>23</xdr:row>
          <xdr:rowOff>190500</xdr:rowOff>
        </xdr:to>
        <xdr:pic>
          <xdr:nvPicPr>
            <xdr:cNvPr id="29432" name="item(let)">
              <a:extLst>
                <a:ext uri="{FF2B5EF4-FFF2-40B4-BE49-F238E27FC236}">
                  <a16:creationId xmlns:a16="http://schemas.microsoft.com/office/drawing/2014/main" id="{00000000-0008-0000-0800-0000F8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Item (Let)'!$A$1:$K$30" spid="_x0000_s47192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64592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0</xdr:row>
          <xdr:rowOff>0</xdr:rowOff>
        </xdr:from>
        <xdr:to>
          <xdr:col>52</xdr:col>
          <xdr:colOff>600075</xdr:colOff>
          <xdr:row>23</xdr:row>
          <xdr:rowOff>190500</xdr:rowOff>
        </xdr:to>
        <xdr:pic>
          <xdr:nvPicPr>
            <xdr:cNvPr id="29433" name="key(let)">
              <a:extLst>
                <a:ext uri="{FF2B5EF4-FFF2-40B4-BE49-F238E27FC236}">
                  <a16:creationId xmlns:a16="http://schemas.microsoft.com/office/drawing/2014/main" id="{00000000-0008-0000-0800-0000F9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Key (Let)'!$A$1:$K$30" spid="_x0000_s47193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249936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25</xdr:row>
          <xdr:rowOff>0</xdr:rowOff>
        </xdr:from>
        <xdr:to>
          <xdr:col>38</xdr:col>
          <xdr:colOff>600075</xdr:colOff>
          <xdr:row>48</xdr:row>
          <xdr:rowOff>190500</xdr:rowOff>
        </xdr:to>
        <xdr:pic>
          <xdr:nvPicPr>
            <xdr:cNvPr id="29434" name="forEach">
              <a:extLst>
                <a:ext uri="{FF2B5EF4-FFF2-40B4-BE49-F238E27FC236}">
                  <a16:creationId xmlns:a16="http://schemas.microsoft.com/office/drawing/2014/main" id="{00000000-0008-0000-0800-0000FA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For Each'!$A$1:$K$30" spid="_x0000_s47194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64592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25</xdr:row>
          <xdr:rowOff>0</xdr:rowOff>
        </xdr:from>
        <xdr:to>
          <xdr:col>52</xdr:col>
          <xdr:colOff>600075</xdr:colOff>
          <xdr:row>48</xdr:row>
          <xdr:rowOff>190500</xdr:rowOff>
        </xdr:to>
        <xdr:pic>
          <xdr:nvPicPr>
            <xdr:cNvPr id="29435" name="remove">
              <a:extLst>
                <a:ext uri="{FF2B5EF4-FFF2-40B4-BE49-F238E27FC236}">
                  <a16:creationId xmlns:a16="http://schemas.microsoft.com/office/drawing/2014/main" id="{00000000-0008-0000-0800-0000FB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Remove!$A$1:$K$30" spid="_x0000_s47195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249936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T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10" width="14.42578125" customWidth="1"/>
    <col min="11" max="11" width="32.140625" customWidth="1"/>
    <col min="12" max="12" width="2.7109375" customWidth="1"/>
    <col min="13" max="14" width="10.42578125" customWidth="1"/>
    <col min="15" max="15" width="10.140625" bestFit="1" customWidth="1"/>
    <col min="16" max="16" width="9.28515625" bestFit="1" customWidth="1"/>
  </cols>
  <sheetData>
    <row r="1" spans="1:20" ht="24.75" customHeight="1" x14ac:dyDescent="0.25">
      <c r="B1" s="25" t="s">
        <v>23</v>
      </c>
      <c r="C1" t="str">
        <f>KeyType</f>
        <v>Number (Long small)</v>
      </c>
    </row>
    <row r="2" spans="1:20" x14ac:dyDescent="0.25">
      <c r="B2" t="s">
        <v>22</v>
      </c>
      <c r="C2" t="str">
        <f>VBInfo</f>
        <v>Win VBA7 x64</v>
      </c>
    </row>
    <row r="3" spans="1:20" x14ac:dyDescent="0.25">
      <c r="B3" t="s">
        <v>12</v>
      </c>
      <c r="C3" s="25" t="s">
        <v>13</v>
      </c>
      <c r="K3" s="17" t="s">
        <v>11</v>
      </c>
    </row>
    <row r="4" spans="1:20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10</v>
      </c>
      <c r="J4" s="10" t="s">
        <v>7</v>
      </c>
      <c r="K4" s="11" t="s">
        <v>0</v>
      </c>
    </row>
    <row r="5" spans="1:20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3"/>
      <c r="K5" s="5" t="str" cm="1">
        <f t="array" ref="K5">IFERROR(TRIM(INDEX(C$4:J$4,MATCH(MIN(IFERROR(C5:J5,"")),C5:J5,0))),"n/a")</f>
        <v>n/a</v>
      </c>
      <c r="N5" s="1"/>
      <c r="O5" s="1"/>
      <c r="P5" s="1"/>
      <c r="Q5" s="1"/>
      <c r="R5" s="1"/>
      <c r="S5" s="1"/>
      <c r="T5" s="1"/>
    </row>
    <row r="6" spans="1:20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3"/>
      <c r="K6" s="5" t="str" cm="1">
        <f t="array" ref="K6">IFERROR(TRIM(INDEX(C$4:J$4,MATCH(MIN(IFERROR(C6:J6,"")),C6:J6,0))),"n/a")</f>
        <v>n/a</v>
      </c>
      <c r="N6" s="1"/>
      <c r="O6" s="1"/>
      <c r="P6" s="1"/>
      <c r="Q6" s="1"/>
      <c r="R6" s="1"/>
      <c r="S6" s="1"/>
      <c r="T6" s="1"/>
    </row>
    <row r="7" spans="1:20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3"/>
      <c r="K7" s="5" t="str" cm="1">
        <f t="array" ref="K7">IFERROR(TRIM(INDEX(C$4:J$4,MATCH(MIN(IFERROR(C7:J7,"")),C7:J7,0))),"n/a")</f>
        <v>n/a</v>
      </c>
      <c r="N7" s="1"/>
      <c r="O7" s="1"/>
      <c r="P7" s="1"/>
      <c r="Q7" s="1"/>
      <c r="R7" s="1"/>
      <c r="S7" s="1"/>
      <c r="T7" s="1"/>
    </row>
    <row r="8" spans="1:20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3"/>
      <c r="K8" s="5" t="str" cm="1">
        <f t="array" ref="K8">IFERROR(TRIM(INDEX(C$4:J$4,MATCH(MIN(IFERROR(C8:J8,"")),C8:J8,0))),"n/a")</f>
        <v>n/a</v>
      </c>
      <c r="N8" s="1"/>
      <c r="O8" s="1"/>
      <c r="P8" s="1"/>
      <c r="Q8" s="1"/>
      <c r="R8" s="1"/>
      <c r="S8" s="1"/>
      <c r="T8" s="1"/>
    </row>
    <row r="9" spans="1:20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3"/>
      <c r="K9" s="5" t="str" cm="1">
        <f t="array" ref="K9">IFERROR(TRIM(INDEX(C$4:J$4,MATCH(MIN(IFERROR(C9:J9,"")),C9:J9,0))),"n/a")</f>
        <v>n/a</v>
      </c>
      <c r="N9" s="1"/>
      <c r="O9" s="1"/>
      <c r="P9" s="1"/>
      <c r="Q9" s="1"/>
      <c r="R9" s="1"/>
      <c r="S9" s="1"/>
      <c r="T9" s="1"/>
    </row>
    <row r="10" spans="1:20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3"/>
      <c r="K10" s="5" t="str" cm="1">
        <f t="array" ref="K10">IFERROR(TRIM(INDEX(C$4:J$4,MATCH(MIN(IFERROR(C10:J10,"")),C10:J10,0))),"n/a")</f>
        <v>n/a</v>
      </c>
      <c r="N10" s="1"/>
      <c r="O10" s="1"/>
      <c r="P10" s="1"/>
      <c r="Q10" s="1"/>
      <c r="R10" s="1"/>
      <c r="S10" s="1"/>
      <c r="T10" s="1"/>
    </row>
    <row r="11" spans="1:20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3"/>
      <c r="K11" s="5" t="str" cm="1">
        <f t="array" ref="K11">IFERROR(TRIM(INDEX(C$4:J$4,MATCH(MIN(IFERROR(C11:J11,"")),C11:J11,0))),"n/a")</f>
        <v>n/a</v>
      </c>
      <c r="N11" s="1"/>
      <c r="O11" s="1"/>
      <c r="P11" s="1"/>
      <c r="Q11" s="1"/>
      <c r="R11" s="1"/>
      <c r="S11" s="1"/>
      <c r="T11" s="1"/>
    </row>
    <row r="12" spans="1:20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3"/>
      <c r="K12" s="5" t="str" cm="1">
        <f t="array" ref="K12">IFERROR(TRIM(INDEX(C$4:J$4,MATCH(MIN(IFERROR(C12:J12,"")),C12:J12,0))),"n/a")</f>
        <v>n/a</v>
      </c>
      <c r="N12" s="1"/>
      <c r="O12" s="1"/>
      <c r="P12" s="1"/>
      <c r="Q12" s="1"/>
      <c r="R12" s="1"/>
      <c r="S12" s="1"/>
      <c r="T12" s="1"/>
    </row>
    <row r="13" spans="1:20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3"/>
      <c r="K13" s="5" t="str" cm="1">
        <f t="array" ref="K13">IFERROR(TRIM(INDEX(C$4:J$4,MATCH(MIN(IFERROR(C13:J13,"")),C13:J13,0))),"n/a")</f>
        <v>n/a</v>
      </c>
      <c r="N13" s="1"/>
      <c r="O13" s="1"/>
      <c r="P13" s="1"/>
      <c r="Q13" s="1"/>
      <c r="R13" s="1"/>
      <c r="S13" s="1"/>
      <c r="T13" s="1"/>
    </row>
    <row r="14" spans="1:20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3"/>
      <c r="K14" s="5" t="str" cm="1">
        <f t="array" ref="K14">IFERROR(TRIM(INDEX(C$4:J$4,MATCH(MIN(IFERROR(C14:J14,"")),C14:J14,0))),"n/a")</f>
        <v>n/a</v>
      </c>
      <c r="N14" s="1"/>
      <c r="O14" s="1"/>
      <c r="P14" s="1"/>
      <c r="Q14" s="1"/>
      <c r="R14" s="1"/>
      <c r="S14" s="1"/>
      <c r="T14" s="1"/>
    </row>
    <row r="15" spans="1:20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3"/>
      <c r="K15" s="5" t="str" cm="1">
        <f t="array" ref="K15">IFERROR(TRIM(INDEX(C$4:J$4,MATCH(MIN(IFERROR(C15:J15,"")),C15:J15,0))),"n/a")</f>
        <v>n/a</v>
      </c>
      <c r="M15" s="1"/>
      <c r="N15" s="1"/>
      <c r="O15" s="1"/>
      <c r="P15" s="1"/>
      <c r="Q15" s="1"/>
      <c r="R15" s="1"/>
      <c r="S15" s="1"/>
      <c r="T15" s="1"/>
    </row>
    <row r="16" spans="1:20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3"/>
      <c r="K16" s="5" t="str" cm="1">
        <f t="array" ref="K16">IFERROR(TRIM(INDEX(C$4:J$4,MATCH(MIN(IFERROR(C16:J16,"")),C16:J16,0))),"n/a")</f>
        <v>n/a</v>
      </c>
      <c r="M16" s="1"/>
      <c r="N16" s="1"/>
      <c r="O16" s="1"/>
      <c r="P16" s="1"/>
      <c r="Q16" s="1"/>
      <c r="R16" s="1"/>
      <c r="S16" s="1"/>
      <c r="T16" s="1"/>
    </row>
    <row r="17" spans="1:20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3"/>
      <c r="K17" s="5" t="str" cm="1">
        <f t="array" ref="K17">IFERROR(TRIM(INDEX(C$4:J$4,MATCH(MIN(IFERROR(C17:J17,"")),C17:J17,0))),"n/a")</f>
        <v>n/a</v>
      </c>
      <c r="M17" s="1"/>
      <c r="N17" s="1"/>
      <c r="O17" s="1"/>
      <c r="P17" s="1"/>
      <c r="Q17" s="1"/>
      <c r="R17" s="1"/>
      <c r="S17" s="1"/>
      <c r="T17" s="1"/>
    </row>
    <row r="18" spans="1:20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3"/>
      <c r="K18" s="5" t="str" cm="1">
        <f t="array" ref="K18">IFERROR(TRIM(INDEX(C$4:J$4,MATCH(MIN(IFERROR(C18:J18,"")),C18:J18,0))),"n/a")</f>
        <v>n/a</v>
      </c>
      <c r="M18" s="1"/>
      <c r="N18" s="1"/>
      <c r="O18" s="1"/>
      <c r="P18" s="1"/>
      <c r="Q18" s="1"/>
      <c r="R18" s="1"/>
      <c r="S18" s="1"/>
      <c r="T18" s="1"/>
    </row>
    <row r="19" spans="1:20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3"/>
      <c r="K19" s="5" t="str" cm="1">
        <f t="array" ref="K19">IFERROR(TRIM(INDEX(C$4:J$4,MATCH(MIN(IFERROR(C19:J19,"")),C19:J19,0))),"n/a")</f>
        <v>n/a</v>
      </c>
      <c r="M19" s="1"/>
      <c r="N19" s="1"/>
      <c r="O19" s="1"/>
      <c r="P19" s="1"/>
      <c r="Q19" s="1"/>
      <c r="R19" s="1"/>
      <c r="S19" s="1"/>
      <c r="T19" s="1"/>
    </row>
    <row r="20" spans="1:20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3"/>
      <c r="K20" s="5" t="str" cm="1">
        <f t="array" ref="K20">IFERROR(TRIM(INDEX(C$4:J$4,MATCH(MIN(IFERROR(C20:J20,"")),C20:J20,0))),"n/a")</f>
        <v>n/a</v>
      </c>
      <c r="M20" s="1"/>
      <c r="N20" s="1"/>
      <c r="O20" s="1"/>
      <c r="P20" s="1"/>
      <c r="Q20" s="1"/>
      <c r="R20" s="1"/>
      <c r="S20" s="1"/>
      <c r="T20" s="1"/>
    </row>
    <row r="21" spans="1:20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3"/>
      <c r="K21" s="5" t="str" cm="1">
        <f t="array" ref="K21">IFERROR(TRIM(INDEX(C$4:J$4,MATCH(MIN(IFERROR(C21:J21,"")),C21:J21,0))),"n/a")</f>
        <v>n/a</v>
      </c>
      <c r="M21" s="1"/>
      <c r="N21" s="1"/>
      <c r="O21" s="1"/>
      <c r="P21" s="1"/>
      <c r="Q21" s="1"/>
      <c r="R21" s="1"/>
      <c r="S21" s="1"/>
      <c r="T21" s="1"/>
    </row>
    <row r="22" spans="1:20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3"/>
      <c r="K22" s="5" t="str" cm="1">
        <f t="array" ref="K22">IFERROR(TRIM(INDEX(C$4:J$4,MATCH(MIN(IFERROR(C22:J22,"")),C22:J22,0))),"n/a")</f>
        <v>n/a</v>
      </c>
      <c r="M22" s="1"/>
      <c r="N22" s="1"/>
      <c r="O22" s="1"/>
      <c r="P22" s="1"/>
      <c r="Q22" s="1"/>
      <c r="R22" s="1"/>
      <c r="S22" s="1"/>
      <c r="T22" s="1"/>
    </row>
    <row r="23" spans="1:20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3"/>
      <c r="K23" s="5" t="str" cm="1">
        <f t="array" ref="K23">IFERROR(TRIM(INDEX(C$4:J$4,MATCH(MIN(IFERROR(C23:J23,"")),C23:J23,0))),"n/a")</f>
        <v>n/a</v>
      </c>
      <c r="M23" s="1"/>
      <c r="N23" s="1"/>
      <c r="O23" s="1"/>
      <c r="P23" s="1"/>
      <c r="Q23" s="1"/>
      <c r="R23" s="1"/>
      <c r="S23" s="1"/>
      <c r="T23" s="1"/>
    </row>
    <row r="24" spans="1:20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3"/>
      <c r="K24" s="5" t="str" cm="1">
        <f t="array" ref="K24">IFERROR(TRIM(INDEX(C$4:J$4,MATCH(MIN(IFERROR(C24:J24,"")),C24:J24,0))),"n/a")</f>
        <v>n/a</v>
      </c>
      <c r="Q24" s="1"/>
      <c r="R24" s="1"/>
      <c r="S24" s="1"/>
      <c r="T24" s="1"/>
    </row>
    <row r="25" spans="1:20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3"/>
      <c r="K25" s="5" t="str" cm="1">
        <f t="array" ref="K25">IFERROR(TRIM(INDEX(C$4:J$4,MATCH(MIN(IFERROR(C25:J25,"")),C25:J25,0))),"n/a")</f>
        <v>n/a</v>
      </c>
      <c r="M25" s="1"/>
      <c r="N25" s="1"/>
      <c r="O25" s="1"/>
      <c r="P25" s="1"/>
      <c r="Q25" s="1"/>
      <c r="R25" s="1"/>
      <c r="S25" s="1"/>
      <c r="T25" s="1"/>
    </row>
    <row r="26" spans="1:20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3"/>
      <c r="K26" s="5" t="str" cm="1">
        <f t="array" ref="K26">IFERROR(TRIM(INDEX(C$4:J$4,MATCH(MIN(IFERROR(C26:J26,"")),C26:J26,0))),"n/a")</f>
        <v>n/a</v>
      </c>
      <c r="M26" s="1"/>
      <c r="N26" s="1"/>
      <c r="O26" s="1"/>
      <c r="P26" s="1"/>
      <c r="Q26" s="1"/>
      <c r="R26" s="1"/>
      <c r="S26" s="1"/>
      <c r="T26" s="1"/>
    </row>
    <row r="27" spans="1:20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3"/>
      <c r="K27" s="5" t="str" cm="1">
        <f t="array" ref="K27">IFERROR(TRIM(INDEX(C$4:J$4,MATCH(MIN(IFERROR(C27:J27,"")),C27:J27,0))),"n/a")</f>
        <v>n/a</v>
      </c>
      <c r="M27" s="1"/>
      <c r="N27" s="1"/>
      <c r="O27" s="1"/>
      <c r="P27" s="1"/>
      <c r="Q27" s="1"/>
      <c r="R27" s="1"/>
      <c r="S27" s="1"/>
      <c r="T27" s="1"/>
    </row>
    <row r="28" spans="1:20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3"/>
      <c r="K28" s="5" t="str" cm="1">
        <f t="array" ref="K28">IFERROR(TRIM(INDEX(C$4:J$4,MATCH(MIN(IFERROR(C28:J28,"")),C28:J28,0))),"n/a")</f>
        <v>n/a</v>
      </c>
      <c r="M28" s="1"/>
      <c r="N28" s="1"/>
      <c r="O28" s="1"/>
      <c r="P28" s="1"/>
      <c r="Q28" s="1"/>
      <c r="R28" s="1"/>
      <c r="S28" s="1"/>
      <c r="T28" s="1"/>
    </row>
    <row r="29" spans="1:20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3"/>
      <c r="K29" s="14" t="str" cm="1">
        <f t="array" ref="K29">IFERROR(TRIM(INDEX(C$4:J$4,MATCH(MIN(IFERROR(C29:J29,"")),C29:J29,0))),"n/a")</f>
        <v>n/a</v>
      </c>
      <c r="M29" s="1"/>
      <c r="N29" s="1"/>
      <c r="O29" s="1"/>
      <c r="P29" s="1"/>
      <c r="Q29" s="1"/>
      <c r="R29" s="1"/>
      <c r="S29" s="1"/>
      <c r="T29" s="1"/>
    </row>
    <row r="30" spans="1:20" x14ac:dyDescent="0.25">
      <c r="B30" s="16" t="str">
        <f>Footnote</f>
        <v>* Each row has it's own scale of colors and it's independent from any other row. 'Green' represents fastest value within it's row.</v>
      </c>
      <c r="D30" s="7"/>
      <c r="Q30" s="2"/>
    </row>
    <row r="32" spans="1:20" x14ac:dyDescent="0.25">
      <c r="Q32" s="2"/>
    </row>
    <row r="34" spans="9:17" x14ac:dyDescent="0.25">
      <c r="I34" s="1"/>
      <c r="J34" s="1"/>
      <c r="Q34" s="2"/>
    </row>
    <row r="36" spans="9:17" x14ac:dyDescent="0.25">
      <c r="Q36" s="2"/>
    </row>
    <row r="38" spans="9:17" x14ac:dyDescent="0.25">
      <c r="Q38" s="2"/>
    </row>
  </sheetData>
  <conditionalFormatting sqref="C5:J5">
    <cfRule type="colorScale" priority="1">
      <colorScale>
        <cfvo type="min"/>
        <cfvo type="percentile" val="50"/>
        <cfvo type="formula" val="$J$5*10"/>
        <color rgb="FF63BE7B"/>
        <color rgb="FFFFEB84"/>
        <color rgb="FFF8696B"/>
      </colorScale>
    </cfRule>
  </conditionalFormatting>
  <conditionalFormatting sqref="C6:J6">
    <cfRule type="colorScale" priority="2">
      <colorScale>
        <cfvo type="min"/>
        <cfvo type="percentile" val="50"/>
        <cfvo type="formula" val="$J$6*10"/>
        <color rgb="FF63BE7B"/>
        <color rgb="FFFFEB84"/>
        <color rgb="FFF8696B"/>
      </colorScale>
    </cfRule>
  </conditionalFormatting>
  <conditionalFormatting sqref="C7:J7">
    <cfRule type="colorScale" priority="3">
      <colorScale>
        <cfvo type="min"/>
        <cfvo type="percentile" val="50"/>
        <cfvo type="formula" val="$J$7*10"/>
        <color rgb="FF63BE7B"/>
        <color rgb="FFFFEB84"/>
        <color rgb="FFF8696B"/>
      </colorScale>
    </cfRule>
  </conditionalFormatting>
  <conditionalFormatting sqref="C8:J8">
    <cfRule type="colorScale" priority="4">
      <colorScale>
        <cfvo type="min"/>
        <cfvo type="percentile" val="50"/>
        <cfvo type="formula" val="$J$8*10"/>
        <color rgb="FF63BE7B"/>
        <color rgb="FFFFEB84"/>
        <color rgb="FFF8696B"/>
      </colorScale>
    </cfRule>
  </conditionalFormatting>
  <conditionalFormatting sqref="C9:J9">
    <cfRule type="colorScale" priority="5">
      <colorScale>
        <cfvo type="min"/>
        <cfvo type="percentile" val="50"/>
        <cfvo type="formula" val="$J$9*10"/>
        <color rgb="FF63BE7B"/>
        <color rgb="FFFFEB84"/>
        <color rgb="FFF8696B"/>
      </colorScale>
    </cfRule>
  </conditionalFormatting>
  <conditionalFormatting sqref="C10:J10">
    <cfRule type="colorScale" priority="6">
      <colorScale>
        <cfvo type="min"/>
        <cfvo type="percentile" val="50"/>
        <cfvo type="formula" val="$J$10*10"/>
        <color rgb="FF63BE7B"/>
        <color rgb="FFFFEB84"/>
        <color rgb="FFF8696B"/>
      </colorScale>
    </cfRule>
  </conditionalFormatting>
  <conditionalFormatting sqref="C11:J11">
    <cfRule type="colorScale" priority="7">
      <colorScale>
        <cfvo type="min"/>
        <cfvo type="percentile" val="50"/>
        <cfvo type="formula" val="$J$11*10"/>
        <color rgb="FF63BE7B"/>
        <color rgb="FFFFEB84"/>
        <color rgb="FFF8696B"/>
      </colorScale>
    </cfRule>
  </conditionalFormatting>
  <conditionalFormatting sqref="C12:J12">
    <cfRule type="colorScale" priority="8">
      <colorScale>
        <cfvo type="min"/>
        <cfvo type="percentile" val="50"/>
        <cfvo type="formula" val="$J$12*10"/>
        <color rgb="FF63BE7B"/>
        <color rgb="FFFFEB84"/>
        <color rgb="FFF8696B"/>
      </colorScale>
    </cfRule>
  </conditionalFormatting>
  <conditionalFormatting sqref="C13:J13">
    <cfRule type="colorScale" priority="9">
      <colorScale>
        <cfvo type="min"/>
        <cfvo type="percentile" val="50"/>
        <cfvo type="formula" val="$J$13*10"/>
        <color rgb="FF63BE7B"/>
        <color rgb="FFFFEB84"/>
        <color rgb="FFF8696B"/>
      </colorScale>
    </cfRule>
  </conditionalFormatting>
  <conditionalFormatting sqref="C14:J14">
    <cfRule type="colorScale" priority="10">
      <colorScale>
        <cfvo type="min"/>
        <cfvo type="percentile" val="50"/>
        <cfvo type="formula" val="$J$14*10"/>
        <color rgb="FF63BE7B"/>
        <color rgb="FFFFEB84"/>
        <color rgb="FFF8696B"/>
      </colorScale>
    </cfRule>
  </conditionalFormatting>
  <conditionalFormatting sqref="C15:J15">
    <cfRule type="colorScale" priority="11">
      <colorScale>
        <cfvo type="min"/>
        <cfvo type="percentile" val="50"/>
        <cfvo type="formula" val="$J$15*10"/>
        <color rgb="FF63BE7B"/>
        <color rgb="FFFFEB84"/>
        <color rgb="FFF8696B"/>
      </colorScale>
    </cfRule>
  </conditionalFormatting>
  <conditionalFormatting sqref="C16:J16">
    <cfRule type="colorScale" priority="12">
      <colorScale>
        <cfvo type="min"/>
        <cfvo type="percentile" val="50"/>
        <cfvo type="formula" val="$J$16*10"/>
        <color rgb="FF63BE7B"/>
        <color rgb="FFFFEB84"/>
        <color rgb="FFF8696B"/>
      </colorScale>
    </cfRule>
  </conditionalFormatting>
  <conditionalFormatting sqref="C17:J17">
    <cfRule type="colorScale" priority="13">
      <colorScale>
        <cfvo type="min"/>
        <cfvo type="percentile" val="50"/>
        <cfvo type="formula" val="$J$17*10"/>
        <color rgb="FF63BE7B"/>
        <color rgb="FFFFEB84"/>
        <color rgb="FFF8696B"/>
      </colorScale>
    </cfRule>
  </conditionalFormatting>
  <conditionalFormatting sqref="C18:J18">
    <cfRule type="colorScale" priority="14">
      <colorScale>
        <cfvo type="min"/>
        <cfvo type="percentile" val="50"/>
        <cfvo type="formula" val="$J$18*10"/>
        <color rgb="FF63BE7B"/>
        <color rgb="FFFFEB84"/>
        <color rgb="FFF8696B"/>
      </colorScale>
    </cfRule>
  </conditionalFormatting>
  <conditionalFormatting sqref="C19:J19">
    <cfRule type="colorScale" priority="15">
      <colorScale>
        <cfvo type="min"/>
        <cfvo type="percentile" val="50"/>
        <cfvo type="formula" val="$J$19*10"/>
        <color rgb="FF63BE7B"/>
        <color rgb="FFFFEB84"/>
        <color rgb="FFF8696B"/>
      </colorScale>
    </cfRule>
  </conditionalFormatting>
  <conditionalFormatting sqref="C20:J20">
    <cfRule type="colorScale" priority="16">
      <colorScale>
        <cfvo type="min"/>
        <cfvo type="percentile" val="50"/>
        <cfvo type="formula" val="$J$20*10"/>
        <color rgb="FF63BE7B"/>
        <color rgb="FFFFEB84"/>
        <color rgb="FFF8696B"/>
      </colorScale>
    </cfRule>
  </conditionalFormatting>
  <conditionalFormatting sqref="C21:J21">
    <cfRule type="colorScale" priority="17">
      <colorScale>
        <cfvo type="min"/>
        <cfvo type="percentile" val="50"/>
        <cfvo type="formula" val="$J$21*10"/>
        <color rgb="FF63BE7B"/>
        <color rgb="FFFFEB84"/>
        <color rgb="FFF8696B"/>
      </colorScale>
    </cfRule>
  </conditionalFormatting>
  <conditionalFormatting sqref="C22:J22">
    <cfRule type="colorScale" priority="18">
      <colorScale>
        <cfvo type="min"/>
        <cfvo type="percentile" val="50"/>
        <cfvo type="formula" val="$J$22*10"/>
        <color rgb="FF63BE7B"/>
        <color rgb="FFFFEB84"/>
        <color rgb="FFF8696B"/>
      </colorScale>
    </cfRule>
  </conditionalFormatting>
  <conditionalFormatting sqref="C23:J23">
    <cfRule type="colorScale" priority="19">
      <colorScale>
        <cfvo type="min"/>
        <cfvo type="percentile" val="50"/>
        <cfvo type="formula" val="$J$23*10"/>
        <color rgb="FF63BE7B"/>
        <color rgb="FFFFEB84"/>
        <color rgb="FFF8696B"/>
      </colorScale>
    </cfRule>
  </conditionalFormatting>
  <conditionalFormatting sqref="C24:J24">
    <cfRule type="colorScale" priority="20">
      <colorScale>
        <cfvo type="min"/>
        <cfvo type="percentile" val="50"/>
        <cfvo type="formula" val="$J$24*10"/>
        <color rgb="FF63BE7B"/>
        <color rgb="FFFFEB84"/>
        <color rgb="FFF8696B"/>
      </colorScale>
    </cfRule>
  </conditionalFormatting>
  <conditionalFormatting sqref="C25:J25">
    <cfRule type="colorScale" priority="21">
      <colorScale>
        <cfvo type="min"/>
        <cfvo type="percentile" val="50"/>
        <cfvo type="formula" val="$J$25*10"/>
        <color rgb="FF63BE7B"/>
        <color rgb="FFFFEB84"/>
        <color rgb="FFF8696B"/>
      </colorScale>
    </cfRule>
  </conditionalFormatting>
  <conditionalFormatting sqref="C26:J26">
    <cfRule type="colorScale" priority="22">
      <colorScale>
        <cfvo type="min"/>
        <cfvo type="percentile" val="50"/>
        <cfvo type="formula" val="$J$26*10"/>
        <color rgb="FF63BE7B"/>
        <color rgb="FFFFEB84"/>
        <color rgb="FFF8696B"/>
      </colorScale>
    </cfRule>
  </conditionalFormatting>
  <conditionalFormatting sqref="C27:J27">
    <cfRule type="colorScale" priority="23">
      <colorScale>
        <cfvo type="min"/>
        <cfvo type="percentile" val="50"/>
        <cfvo type="formula" val="$J$27*10"/>
        <color rgb="FF63BE7B"/>
        <color rgb="FFFFEB84"/>
        <color rgb="FFF8696B"/>
      </colorScale>
    </cfRule>
  </conditionalFormatting>
  <conditionalFormatting sqref="C28:J28">
    <cfRule type="colorScale" priority="24">
      <colorScale>
        <cfvo type="min"/>
        <cfvo type="percentile" val="50"/>
        <cfvo type="formula" val="$J$28*10"/>
        <color rgb="FF63BE7B"/>
        <color rgb="FFFFEB84"/>
        <color rgb="FFF8696B"/>
      </colorScale>
    </cfRule>
  </conditionalFormatting>
  <conditionalFormatting sqref="C29:J29">
    <cfRule type="colorScale" priority="25">
      <colorScale>
        <cfvo type="min"/>
        <cfvo type="percentile" val="50"/>
        <cfvo type="formula" val="$J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K5:K2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14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15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16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17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6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18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6"/>
      <c r="E25" s="19"/>
      <c r="F25" s="3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3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19</v>
      </c>
      <c r="D3" s="24" t="s">
        <v>21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6"/>
      <c r="E25" s="19"/>
      <c r="F25" s="3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3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20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Camera">
    <tabColor rgb="FFFFC000"/>
  </sheetPr>
  <dimension ref="K53"/>
  <sheetViews>
    <sheetView showGridLines="0" showRowColHeaders="0" tabSelected="1" zoomScale="55" zoomScaleNormal="55" workbookViewId="0">
      <selection activeCell="J53" sqref="J53"/>
    </sheetView>
  </sheetViews>
  <sheetFormatPr defaultRowHeight="15" x14ac:dyDescent="0.25"/>
  <sheetData>
    <row r="53" spans="11:11" ht="33.75" x14ac:dyDescent="0.5">
      <c r="K53" s="26" t="s">
        <v>25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59" r:id="rId4" name="Button 1211">
              <controlPr defaultSize="0" print="0" autoFill="0" autoPict="0" macro="[0]!ExportBenchResults">
                <anchor moveWithCells="1" sizeWithCells="1">
                  <from>
                    <xdr:col>5</xdr:col>
                    <xdr:colOff>257175</xdr:colOff>
                    <xdr:row>51</xdr:row>
                    <xdr:rowOff>0</xdr:rowOff>
                  </from>
                  <to>
                    <xdr:col>8</xdr:col>
                    <xdr:colOff>333375</xdr:colOff>
                    <xdr:row>54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ManagedExcelCustomXML">
  <ProtectedMode xmlns=""/>
</root>
</file>

<file path=customXml/itemProps1.xml><?xml version="1.0" encoding="utf-8"?>
<ds:datastoreItem xmlns:ds="http://schemas.openxmlformats.org/officeDocument/2006/customXml" ds:itemID="{D4142B04-CD49-4E64-AF33-BF32B017F15E}">
  <ds:schemaRefs>
    <ds:schemaRef ds:uri="ManagedExcelCustomXML"/>
    <ds:schemaRef ds:uri=""/>
  </ds:schemaRefs>
</ds:datastoreItem>
</file>

<file path=docMetadata/LabelInfo.xml><?xml version="1.0" encoding="utf-8"?>
<clbl:labelList xmlns:clbl="http://schemas.microsoft.com/office/2020/mipLabelMetadata">
  <clbl:label id="{0159e9d0-09a0-4edf-96ba-a3deea363c28}" enabled="0" method="" siteId="{0159e9d0-09a0-4edf-96ba-a3deea363c2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Add</vt:lpstr>
      <vt:lpstr>Exists (True)</vt:lpstr>
      <vt:lpstr>Exists (False)</vt:lpstr>
      <vt:lpstr>Item (Get)</vt:lpstr>
      <vt:lpstr>Item (Let)</vt:lpstr>
      <vt:lpstr>Key (Let)</vt:lpstr>
      <vt:lpstr>For Each</vt:lpstr>
      <vt:lpstr>Remove</vt:lpstr>
      <vt:lpstr>Camera</vt:lpstr>
      <vt:lpstr>Add!Results</vt:lpstr>
      <vt:lpstr>'Exists (False)'!Results</vt:lpstr>
      <vt:lpstr>'Exists (True)'!Results</vt:lpstr>
      <vt:lpstr>'For Each'!Results</vt:lpstr>
      <vt:lpstr>'Item (Get)'!Results</vt:lpstr>
      <vt:lpstr>'Item (Let)'!Results</vt:lpstr>
      <vt:lpstr>'Key (Let)'!Results</vt:lpstr>
      <vt:lpstr>Remove!Results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Buse Cristi</dc:creator>
  <cp:lastModifiedBy>Buse, Cristian @ London HH</cp:lastModifiedBy>
  <dcterms:created xsi:type="dcterms:W3CDTF">2021-01-21T14:50:04Z</dcterms:created>
  <dcterms:modified xsi:type="dcterms:W3CDTF">2024-06-04T09:07:29Z</dcterms:modified>
</cp:coreProperties>
</file>