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___VBA Projects/Dict/"/>
    </mc:Choice>
  </mc:AlternateContent>
  <xr:revisionPtr revIDLastSave="57040" documentId="8_{C105B7C3-0DE8-4C74-A7A9-29177470164B}" xr6:coauthVersionLast="47" xr6:coauthVersionMax="47" xr10:uidLastSave="{9311C507-0E22-4E96-B108-96238D507118}"/>
  <bookViews>
    <workbookView xWindow="-120" yWindow="-120" windowWidth="29040" windowHeight="15840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"Text (len 40-60, text compare, ASCII)"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8" l="1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5" i="17" a="1"/>
  <c r="J5" i="17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5" i="16" a="1"/>
  <c r="J5" i="16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5" i="15" a="1"/>
  <c r="J5" i="15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5" i="14" a="1"/>
  <c r="J5" i="14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5" i="13" a="1"/>
  <c r="J5" i="13" s="1"/>
  <c r="J29" i="12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5" i="12" a="1"/>
  <c r="J5" i="12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  <c r="K19" i="4" l="1" a="1"/>
  <c r="K19" i="4" s="1"/>
  <c r="K18" i="4" a="1"/>
  <c r="K18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0" i="4" a="1"/>
  <c r="K10" i="4" s="1"/>
  <c r="K9" i="4" a="1"/>
  <c r="K9" i="4" s="1"/>
  <c r="K20" i="4" a="1"/>
  <c r="K20" i="4" s="1"/>
  <c r="K17" i="4" a="1"/>
  <c r="K17" i="4" s="1"/>
  <c r="K11" i="4" a="1"/>
  <c r="K11" i="4" s="1"/>
  <c r="K8" i="4" a="1"/>
  <c r="K8" i="4" s="1"/>
  <c r="K7" i="4" a="1"/>
  <c r="K7" i="4" s="1"/>
  <c r="K6" i="4" a="1"/>
  <c r="K6" i="4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5" i="4" a="1"/>
  <c r="K5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<sst xmlns="http://schemas.openxmlformats.org/spreadsheetml/2006/main" count="692" uniqueCount="28">
  <si>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</si>
  <si>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</si>
  <si>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</si>
  <si>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</si>
  <si>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</si>
  <si>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</si>
  <si>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</si>
  <si>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</si>
  <si>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</si>
  <si>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</si>
  <si>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</si>
  <si>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</si>
  <si>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</si>
  <si>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</si>
  <si>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</si>
  <si>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</si>
  <si>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</si>
  <si>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</si>
  <si>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</si>
  <si>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</si>
  <si>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</si>
  <si>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not supported</t>
  </si>
  <si>
    <t>Please note Collection does support For Each but not for Keys</t>
  </si>
  <si>
    <t>VB Info:</t>
  </si>
  <si>
    <t>Key Type:</t>
  </si>
  <si>
    <t>Dictionary (50% load)</t>
  </si>
  <si>
    <t>Add' too slow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</si>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</sst>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26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6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898</xdr:rowOff>
        </xdr:to>
        <xdr:pic>
          <xdr:nvPicPr>
            <xdr:cNvPr id="3" name="add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29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89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186293</xdr:rowOff>
        </xdr:to>
        <xdr:pic>
          <xdr:nvPicPr>
            <xdr:cNvPr id="2" name="exists(true)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293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6779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186293</xdr:rowOff>
        </xdr:to>
        <xdr:pic>
          <xdr:nvPicPr>
            <xdr:cNvPr id="12" name="exists(false)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2937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6779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186293</xdr:rowOff>
        </xdr:to>
        <xdr:pic>
          <xdr:nvPicPr>
            <xdr:cNvPr id="13" name="item(get)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2937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6779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186293</xdr:rowOff>
        </xdr:to>
        <xdr:pic>
          <xdr:nvPicPr>
            <xdr:cNvPr id="18" name="item(let)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2937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716375" y="0"/>
              <a:ext cx="7410450" cy="456779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186293</xdr:rowOff>
        </xdr:to>
        <xdr:pic>
          <xdr:nvPicPr>
            <xdr:cNvPr id="19" name="key(let)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2937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5384125" y="0"/>
              <a:ext cx="7410450" cy="456779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186293</xdr:rowOff>
        </xdr:to>
        <xdr:pic>
          <xdr:nvPicPr>
            <xdr:cNvPr id="20" name="forEach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2937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365682" y="4762500"/>
              <a:ext cx="7267575" cy="456779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186293</xdr:rowOff>
        </xdr:to>
        <xdr:pic>
          <xdr:nvPicPr>
            <xdr:cNvPr id="21" name="remove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2937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851591" y="4762500"/>
              <a:ext cx="7267575" cy="456779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T38"/>
  <sheetViews>
    <sheetView showGridLines="0" zoomScale="85" zoomScaleNormal="85" workbookViewId="0">
      <selection activeCell="I21" sqref="I21"/>
    </sheetView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24</v>
      </c>
      <c r="C1" t="str">
        <f>KeyType</f>
        <v>Text (len 40-60, text compare, ASCII)</v>
      </c>
    </row>
    <row r="2" spans="1:20" x14ac:dyDescent="0.25">
      <c r="B2" t="s">
        <v>23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>
        <v>1</v>
      </c>
      <c r="C5" s="4">
        <v>20</v>
      </c>
      <c r="D5" s="6">
        <v>24</v>
      </c>
      <c r="E5" s="3">
        <v>23</v>
      </c>
      <c r="F5" s="3">
        <v>465</v>
      </c>
      <c r="G5" s="3">
        <v>21</v>
      </c>
      <c r="H5" s="3">
        <v>20</v>
      </c>
      <c r="I5" s="3">
        <v>23</v>
      </c>
      <c r="J5" s="3">
        <v>26</v>
      </c>
      <c r="K5" s="5" t="str" cm="1">
        <f t="array" ref="K5">TRIM(INDEX(C$4:J$4,MATCH(MIN(IFERROR(C5:J5,"")),C5:J5,0)))</f>
        <v>Tim Hall's VBA-Dictionary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>
        <v>2</v>
      </c>
      <c r="C6" s="4">
        <v>804</v>
      </c>
      <c r="D6" s="6">
        <v>26</v>
      </c>
      <c r="E6" s="3">
        <v>450</v>
      </c>
      <c r="F6" s="3">
        <v>542</v>
      </c>
      <c r="G6" s="3">
        <v>26</v>
      </c>
      <c r="H6" s="3">
        <v>23</v>
      </c>
      <c r="I6" s="3">
        <v>23</v>
      </c>
      <c r="J6" s="3">
        <v>29</v>
      </c>
      <c r="K6" s="5" t="str" cm="1">
        <f t="array" ref="K6">TRIM(INDEX(C$4:J$4,MATCH(MIN(IFERROR(C6:J6,"")),C6:J6,0)))</f>
        <v>cHashD
(predict 38.5% load)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>
        <v>4</v>
      </c>
      <c r="C7" s="4">
        <v>511</v>
      </c>
      <c r="D7" s="6">
        <v>30</v>
      </c>
      <c r="E7" s="3">
        <v>466</v>
      </c>
      <c r="F7" s="3">
        <v>542</v>
      </c>
      <c r="G7" s="3">
        <v>25</v>
      </c>
      <c r="H7" s="3">
        <v>24</v>
      </c>
      <c r="I7" s="3">
        <v>26</v>
      </c>
      <c r="J7" s="3">
        <v>30</v>
      </c>
      <c r="K7" s="5" t="str" cm="1">
        <f t="array" ref="K7">TRIM(INDEX(C$4:J$4,MATCH(MIN(IFERROR(C7:J7,"")),C7:J7,0)))</f>
        <v>cHashD
(predict 38.5% load)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>
        <v>8</v>
      </c>
      <c r="C8" s="4">
        <v>505</v>
      </c>
      <c r="D8" s="6">
        <v>53</v>
      </c>
      <c r="E8" s="3">
        <v>11</v>
      </c>
      <c r="F8" s="3">
        <v>516</v>
      </c>
      <c r="G8" s="3">
        <v>27</v>
      </c>
      <c r="H8" s="3">
        <v>28</v>
      </c>
      <c r="I8" s="3">
        <v>30</v>
      </c>
      <c r="J8" s="3">
        <v>35</v>
      </c>
      <c r="K8" s="5" t="str" cm="1">
        <f t="array" ref="K8">TRIM(INDEX(C$4:J$4,MATCH(MIN(IFERROR(C8:J8,"")),C8:J8,0)))</f>
        <v>Scripting Dictionary (early-binded)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>
        <v>16</v>
      </c>
      <c r="C9" s="4">
        <v>598</v>
      </c>
      <c r="D9" s="6">
        <v>39</v>
      </c>
      <c r="E9" s="3">
        <v>14</v>
      </c>
      <c r="F9" s="3">
        <v>605</v>
      </c>
      <c r="G9" s="3">
        <v>40</v>
      </c>
      <c r="H9" s="3">
        <v>39</v>
      </c>
      <c r="I9" s="3">
        <v>39</v>
      </c>
      <c r="J9" s="3">
        <v>42</v>
      </c>
      <c r="K9" s="5" t="str" cm="1">
        <f t="array" ref="K9">TRIM(INDEX(C$4:J$4,MATCH(MIN(IFERROR(C9:J9,"")),C9:J9,0)))</f>
        <v>Scripting Dictionary (early-binded)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>
        <v>32</v>
      </c>
      <c r="C10" s="4">
        <v>627</v>
      </c>
      <c r="D10" s="6">
        <v>53</v>
      </c>
      <c r="E10" s="3">
        <v>485</v>
      </c>
      <c r="F10" s="3">
        <v>580</v>
      </c>
      <c r="G10" s="3">
        <v>51</v>
      </c>
      <c r="H10" s="3">
        <v>57</v>
      </c>
      <c r="I10" s="3">
        <v>49</v>
      </c>
      <c r="J10" s="3">
        <v>51</v>
      </c>
      <c r="K10" s="5" t="str" cm="1">
        <f t="array" ref="K10">TRIM(INDEX(C$4:J$4,MATCH(MIN(IFERROR(C10:J10,"")),C10:J10,0)))</f>
        <v>Dictionary (50% load) with rehash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>
        <v>64</v>
      </c>
      <c r="C11" s="4">
        <v>642</v>
      </c>
      <c r="D11" s="6">
        <v>87</v>
      </c>
      <c r="E11" s="3">
        <v>28</v>
      </c>
      <c r="F11" s="3">
        <v>548</v>
      </c>
      <c r="G11" s="3">
        <v>87</v>
      </c>
      <c r="H11" s="3">
        <v>82</v>
      </c>
      <c r="I11" s="3">
        <v>71</v>
      </c>
      <c r="J11" s="3">
        <v>73</v>
      </c>
      <c r="K11" s="5" t="str" cm="1">
        <f t="array" ref="K11">TRIM(INDEX(C$4:J$4,MATCH(MIN(IFERROR(C11:J11,"")),C11:J11,0)))</f>
        <v>Scripting Dictionary (early-binded)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>
        <v>128</v>
      </c>
      <c r="C12" s="4">
        <v>646</v>
      </c>
      <c r="D12" s="6">
        <v>144</v>
      </c>
      <c r="E12" s="3">
        <v>80</v>
      </c>
      <c r="F12" s="3">
        <v>1202</v>
      </c>
      <c r="G12" s="3">
        <v>150</v>
      </c>
      <c r="H12" s="3">
        <v>140</v>
      </c>
      <c r="I12" s="3">
        <v>115</v>
      </c>
      <c r="J12" s="3">
        <v>112</v>
      </c>
      <c r="K12" s="5" t="str" cm="1">
        <f t="array" ref="K12">TRIM(INDEX(C$4:J$4,MATCH(MIN(IFERROR(C12:J12,"")),C12:J12,0)))</f>
        <v>Scripting Dictionary (early-binded)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>
        <v>256</v>
      </c>
      <c r="C13" s="4">
        <v>990</v>
      </c>
      <c r="D13" s="6">
        <v>848</v>
      </c>
      <c r="E13" s="3">
        <v>89</v>
      </c>
      <c r="F13" s="3">
        <v>736</v>
      </c>
      <c r="G13" s="3">
        <v>254</v>
      </c>
      <c r="H13" s="3">
        <v>337</v>
      </c>
      <c r="I13" s="3">
        <v>211</v>
      </c>
      <c r="J13" s="3">
        <v>175</v>
      </c>
      <c r="K13" s="5" t="str" cm="1">
        <f t="array" ref="K13">TRIM(INDEX(C$4:J$4,MATCH(MIN(IFERROR(C13:J13,"")),C13:J13,0)))</f>
        <v>Scripting Dictionary (early-binded)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>
        <v>512</v>
      </c>
      <c r="C14" s="4">
        <v>1254</v>
      </c>
      <c r="D14" s="6">
        <v>938</v>
      </c>
      <c r="E14" s="3">
        <v>178</v>
      </c>
      <c r="F14" s="3">
        <v>889</v>
      </c>
      <c r="G14" s="3">
        <v>654</v>
      </c>
      <c r="H14" s="3">
        <v>519</v>
      </c>
      <c r="I14" s="3">
        <v>344</v>
      </c>
      <c r="J14" s="3">
        <v>345</v>
      </c>
      <c r="K14" s="5" t="str" cm="1">
        <f t="array" ref="K14">TRIM(INDEX(C$4:J$4,MATCH(MIN(IFERROR(C14:J14,"")),C14:J14,0)))</f>
        <v>Scripting Dictionary (early-binded)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>
        <v>1024</v>
      </c>
      <c r="C15" s="4">
        <v>1776</v>
      </c>
      <c r="D15" s="6">
        <v>1451</v>
      </c>
      <c r="E15" s="3">
        <v>324</v>
      </c>
      <c r="F15" s="3">
        <v>2015</v>
      </c>
      <c r="G15" s="3">
        <v>1162</v>
      </c>
      <c r="H15" s="3">
        <v>1192</v>
      </c>
      <c r="I15" s="3">
        <v>746</v>
      </c>
      <c r="J15" s="3">
        <v>682</v>
      </c>
      <c r="K15" s="5" t="str" cm="1">
        <f t="array" ref="K15">TRIM(INDEX(C$4:J$4,MATCH(MIN(IFERROR(C15:J15,"")),C15:J15,0)))</f>
        <v>Scripting Dictionary (early-binded)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>
        <v>2048</v>
      </c>
      <c r="C16" s="4">
        <v>3094</v>
      </c>
      <c r="D16" s="6">
        <v>6543</v>
      </c>
      <c r="E16" s="3">
        <v>575</v>
      </c>
      <c r="F16" s="3">
        <v>2321</v>
      </c>
      <c r="G16" s="3">
        <v>2349</v>
      </c>
      <c r="H16" s="3">
        <v>3848</v>
      </c>
      <c r="I16" s="3">
        <v>1737</v>
      </c>
      <c r="J16" s="3">
        <v>1654</v>
      </c>
      <c r="K16" s="5" t="str" cm="1">
        <f t="array" ref="K16">TRIM(INDEX(C$4:J$4,MATCH(MIN(IFERROR(C16:J16,"")),C16:J16,0)))</f>
        <v>Scripting Dictionary (early-binded)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>
        <v>4096</v>
      </c>
      <c r="C17" s="4">
        <v>6945</v>
      </c>
      <c r="D17" s="6">
        <v>6697</v>
      </c>
      <c r="E17" s="3">
        <v>1218</v>
      </c>
      <c r="F17" s="3">
        <v>4355</v>
      </c>
      <c r="G17" s="3">
        <v>4419</v>
      </c>
      <c r="H17" s="3">
        <v>5073</v>
      </c>
      <c r="I17" s="3">
        <v>3237</v>
      </c>
      <c r="J17" s="3">
        <v>2734</v>
      </c>
      <c r="K17" s="5" t="str" cm="1">
        <f t="array" ref="K17">TRIM(INDEX(C$4:J$4,MATCH(MIN(IFERROR(C17:J17,"")),C17:J17,0)))</f>
        <v>Scripting Dictionary (early-binded)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>
        <v>8192</v>
      </c>
      <c r="C18" s="4">
        <v>11584</v>
      </c>
      <c r="D18" s="6">
        <v>14239</v>
      </c>
      <c r="E18" s="3">
        <v>2394</v>
      </c>
      <c r="F18" s="3">
        <v>8021</v>
      </c>
      <c r="G18" s="3">
        <v>8523</v>
      </c>
      <c r="H18" s="3">
        <v>10452</v>
      </c>
      <c r="I18" s="3">
        <v>6544</v>
      </c>
      <c r="J18" s="3">
        <v>5693</v>
      </c>
      <c r="K18" s="5" t="str" cm="1">
        <f t="array" ref="K18">TRIM(INDEX(C$4:J$4,MATCH(MIN(IFERROR(C18:J18,"")),C18:J18,0)))</f>
        <v>Scripting Dictionary (early-binded)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>
        <v>16384</v>
      </c>
      <c r="C19" s="4">
        <v>26642</v>
      </c>
      <c r="D19" s="6">
        <v>33628</v>
      </c>
      <c r="E19" s="3">
        <v>5910</v>
      </c>
      <c r="F19" s="3">
        <v>16796</v>
      </c>
      <c r="G19" s="3">
        <v>19411</v>
      </c>
      <c r="H19" s="3">
        <v>22108</v>
      </c>
      <c r="I19" s="3">
        <v>12526</v>
      </c>
      <c r="J19" s="3">
        <v>11018</v>
      </c>
      <c r="K19" s="5" t="str" cm="1">
        <f t="array" ref="K19">TRIM(INDEX(C$4:J$4,MATCH(MIN(IFERROR(C19:J19,"")),C19:J19,0)))</f>
        <v>Scripting Dictionary (early-binded)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>
        <v>32768</v>
      </c>
      <c r="C20" s="4">
        <v>51443</v>
      </c>
      <c r="D20" s="6">
        <v>66346</v>
      </c>
      <c r="E20" s="3">
        <v>15630</v>
      </c>
      <c r="F20" s="3">
        <v>37908</v>
      </c>
      <c r="G20" s="3">
        <v>39407</v>
      </c>
      <c r="H20" s="3">
        <v>45135</v>
      </c>
      <c r="I20" s="3">
        <v>25588</v>
      </c>
      <c r="J20" s="3">
        <v>23386</v>
      </c>
      <c r="K20" s="5" t="str" cm="1">
        <f t="array" ref="K20">TRIM(INDEX(C$4:J$4,MATCH(MIN(IFERROR(C20:J20,"")),C20:J20,0)))</f>
        <v>Scripting Dictionary (early-binded)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>
        <v>65536</v>
      </c>
      <c r="C21" s="18">
        <v>134864</v>
      </c>
      <c r="D21" s="6">
        <v>213945</v>
      </c>
      <c r="E21" s="19">
        <v>62730</v>
      </c>
      <c r="F21" s="3">
        <v>108227</v>
      </c>
      <c r="G21" s="3">
        <v>79254</v>
      </c>
      <c r="H21" s="3">
        <v>87050</v>
      </c>
      <c r="I21" s="3">
        <v>49598</v>
      </c>
      <c r="J21" s="3">
        <v>57423</v>
      </c>
      <c r="K21" s="5" t="str" cm="1">
        <f t="array" ref="K21">TRIM(INDEX(C$4:J$4,MATCH(MIN(IFERROR(C21:J21,"")),C21:J21,0)))</f>
        <v>Dictionary (50% load) with rehash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>
        <v>131072</v>
      </c>
      <c r="C22" s="18">
        <v>393158</v>
      </c>
      <c r="D22" s="6">
        <v>409714</v>
      </c>
      <c r="E22" s="19">
        <v>279644</v>
      </c>
      <c r="F22" s="3">
        <v>236740</v>
      </c>
      <c r="G22" s="3">
        <v>170072</v>
      </c>
      <c r="H22" s="3">
        <v>173569</v>
      </c>
      <c r="I22" s="3">
        <v>90548</v>
      </c>
      <c r="J22" s="3">
        <v>82452</v>
      </c>
      <c r="K22" s="5" t="str" cm="1">
        <f t="array" ref="K22">TRIM(INDEX(C$4:J$4,MATCH(MIN(IFERROR(C22:J22,"")),C22:J22,0)))</f>
        <v>Dictionary (50% load) with predict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>
        <v>262144</v>
      </c>
      <c r="C23" s="18">
        <v>1317174</v>
      </c>
      <c r="D23" s="6">
        <v>789759</v>
      </c>
      <c r="E23" s="19">
        <v>1029809</v>
      </c>
      <c r="F23" s="3">
        <v>494929</v>
      </c>
      <c r="G23" s="3">
        <v>280217</v>
      </c>
      <c r="H23" s="3">
        <v>315130</v>
      </c>
      <c r="I23" s="3">
        <v>169120</v>
      </c>
      <c r="J23" s="3">
        <v>160950</v>
      </c>
      <c r="K23" s="5" t="str" cm="1">
        <f t="array" ref="K23">TRIM(INDEX(C$4:J$4,MATCH(MIN(IFERROR(C23:J23,"")),C23:J23,0)))</f>
        <v>Dictionary (50% load) with predict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>
        <v>524288</v>
      </c>
      <c r="C24" s="18">
        <v>7078389</v>
      </c>
      <c r="D24" s="6">
        <v>1810532</v>
      </c>
      <c r="E24" s="19">
        <v>8186413</v>
      </c>
      <c r="F24" s="3">
        <v>1693204</v>
      </c>
      <c r="G24" s="3">
        <v>623232</v>
      </c>
      <c r="H24" s="3">
        <v>670200</v>
      </c>
      <c r="I24" s="3">
        <v>379468</v>
      </c>
      <c r="J24" s="3">
        <v>336793</v>
      </c>
      <c r="K24" s="5" t="str" cm="1">
        <f t="array" ref="K24">TRIM(INDEX(C$4:J$4,MATCH(MIN(IFERROR(C24:J24,"")),C24:J24,0)))</f>
        <v>Dictionary (50% load) with predict</v>
      </c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5" t="s">
        <v>8</v>
      </c>
      <c r="B25" s="4">
        <v>1048576</v>
      </c>
      <c r="C25" s="18" t="s">
        <v>26</v>
      </c>
      <c r="D25" s="6">
        <v>4108750</v>
      </c>
      <c r="E25" s="19" t="s">
        <v>26</v>
      </c>
      <c r="F25" s="3">
        <v>5894410</v>
      </c>
      <c r="G25" s="3">
        <v>1318965</v>
      </c>
      <c r="H25" s="3">
        <v>1362980</v>
      </c>
      <c r="I25" s="3">
        <v>753347</v>
      </c>
      <c r="J25" s="3">
        <v>690662</v>
      </c>
      <c r="K25" s="5" t="str" cm="1">
        <f t="array" ref="K25">TRIM(INDEX(C$4:J$4,MATCH(MIN(IFERROR(C25:J25,"")),C25:J25,0)))</f>
        <v>Dictionary (50% load) with predict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26</v>
      </c>
      <c r="F26" s="19" t="s">
        <v>26</v>
      </c>
      <c r="G26" s="3">
        <v>3252743</v>
      </c>
      <c r="H26" s="3">
        <v>3111980</v>
      </c>
      <c r="I26" s="3">
        <v>1504193</v>
      </c>
      <c r="J26" s="3">
        <v>1362121</v>
      </c>
      <c r="K26" s="5" t="str" cm="1">
        <f t="array" ref="K26">TRIM(INDEX(C$4:J$4,MATCH(MIN(IFERROR(C26:J26,"")),C26:J26,0)))</f>
        <v>Dictionary (50% load) with predict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26</v>
      </c>
      <c r="F27" s="19" t="s">
        <v>26</v>
      </c>
      <c r="G27" s="3">
        <v>8794215</v>
      </c>
      <c r="H27" s="3">
        <v>8535389</v>
      </c>
      <c r="I27" s="3">
        <v>3071645</v>
      </c>
      <c r="J27" s="3">
        <v>2704304</v>
      </c>
      <c r="K27" s="5" t="str" cm="1">
        <f t="array" ref="K27">TRIM(INDEX(C$4:J$4,MATCH(MIN(IFERROR(C27:J27,"")),C27:J27,0)))</f>
        <v>Dictionary (50% load) with predict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>
        <v>8388608</v>
      </c>
      <c r="C28" s="18" t="s">
        <v>26</v>
      </c>
      <c r="D28" s="20" t="s">
        <v>26</v>
      </c>
      <c r="E28" s="19" t="s">
        <v>26</v>
      </c>
      <c r="F28" s="19" t="s">
        <v>26</v>
      </c>
      <c r="G28" s="3">
        <v>24997364</v>
      </c>
      <c r="H28" s="3">
        <v>24977030</v>
      </c>
      <c r="I28" s="3">
        <v>6466024</v>
      </c>
      <c r="J28" s="3">
        <v>5491618</v>
      </c>
      <c r="K28" s="5" t="str" cm="1">
        <f t="array" ref="K28">TRIM(INDEX(C$4:J$4,MATCH(MIN(IFERROR(C28:J28,"")),C28:J28,0)))</f>
        <v>Dictionary (50% load) with predict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>
        <v>16777216</v>
      </c>
      <c r="C29" s="21" t="s">
        <v>26</v>
      </c>
      <c r="D29" s="22" t="s">
        <v>26</v>
      </c>
      <c r="E29" s="23" t="s">
        <v>26</v>
      </c>
      <c r="F29" s="23" t="s">
        <v>26</v>
      </c>
      <c r="G29" s="13">
        <v>81125863</v>
      </c>
      <c r="H29" s="13">
        <v>80958571</v>
      </c>
      <c r="I29" s="13">
        <v>13653788</v>
      </c>
      <c r="J29" s="13">
        <v>11280127</v>
      </c>
      <c r="K29" s="14" t="str" cm="1">
        <f t="array" ref="K29">TRIM(INDEX(C$4:J$4,MATCH(MIN(IFERROR(C29:J29,"")),C29:J29,0)))</f>
        <v>Dictionary (50% load) with predict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60D0A-33B3-471F-AC6D-4E80A35702B4}">
  <sheetPr codeName="Sheet5"/>
  <dimension ref="A1:S38"/>
  <sheetViews>
    <sheetView showGridLines="0" zoomScale="85" zoomScaleNormal="85" workbookViewId="0">
      <selection activeCell="M5" sqref="M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24</v>
      </c>
      <c r="C1" t="str">
        <f>KeyType</f>
        <v>Text (len 40-60, text compare, ASCII)</v>
      </c>
    </row>
    <row r="2" spans="1:19" x14ac:dyDescent="0.25">
      <c r="B2" t="s">
        <v>23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25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8</v>
      </c>
      <c r="D5" s="6">
        <v>9</v>
      </c>
      <c r="E5" s="3">
        <v>9</v>
      </c>
      <c r="F5" s="3">
        <v>6</v>
      </c>
      <c r="G5" s="3">
        <v>3</v>
      </c>
      <c r="H5" s="3">
        <v>3</v>
      </c>
      <c r="I5" s="3">
        <v>7</v>
      </c>
      <c r="J5" s="5" t="str" cm="1">
        <f t="array" ref="J5">TRIM(INDEX(C$4:I$4,MATCH(MIN(IFERROR(C5:I5,"")),C5:I5,0)))</f>
        <v>cHashD
(predict 10%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9</v>
      </c>
      <c r="D6" s="6">
        <v>8</v>
      </c>
      <c r="E6" s="3">
        <v>6</v>
      </c>
      <c r="F6" s="3">
        <v>4</v>
      </c>
      <c r="G6" s="3">
        <v>7</v>
      </c>
      <c r="H6" s="3">
        <v>5</v>
      </c>
      <c r="I6" s="3">
        <v>3</v>
      </c>
      <c r="J6" s="5" t="str" cm="1">
        <f t="array" ref="J6">TRIM(INDEX(C$4:I$4,MATCH(MIN(IFERROR(C6:I6,"")),C6:I6,0)))</f>
        <v>Dictionary (50% load)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10</v>
      </c>
      <c r="D7" s="6">
        <v>10</v>
      </c>
      <c r="E7" s="3">
        <v>6</v>
      </c>
      <c r="F7" s="3">
        <v>6</v>
      </c>
      <c r="G7" s="3">
        <v>7</v>
      </c>
      <c r="H7" s="3">
        <v>6</v>
      </c>
      <c r="I7" s="3">
        <v>5</v>
      </c>
      <c r="J7" s="5" t="str" cm="1">
        <f t="array" ref="J7">TRIM(INDEX(C$4:I$4,MATCH(MIN(IFERROR(C7:I7,"")),C7:I7,0)))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14</v>
      </c>
      <c r="D8" s="6">
        <v>20</v>
      </c>
      <c r="E8" s="3">
        <v>5</v>
      </c>
      <c r="F8" s="3">
        <v>9</v>
      </c>
      <c r="G8" s="3">
        <v>9</v>
      </c>
      <c r="H8" s="3">
        <v>10</v>
      </c>
      <c r="I8" s="3">
        <v>6</v>
      </c>
      <c r="J8" s="5" t="str" cm="1">
        <f t="array" ref="J8">TRIM(INDEX(C$4:I$4,MATCH(MIN(IFERROR(C8:I8,"")),C8:I8,0)))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22</v>
      </c>
      <c r="D9" s="6">
        <v>15</v>
      </c>
      <c r="E9" s="3">
        <v>8</v>
      </c>
      <c r="F9" s="3">
        <v>19</v>
      </c>
      <c r="G9" s="3">
        <v>18</v>
      </c>
      <c r="H9" s="3">
        <v>17</v>
      </c>
      <c r="I9" s="3">
        <v>10</v>
      </c>
      <c r="J9" s="5" t="str" cm="1">
        <f t="array" ref="J9">TRIM(INDEX(C$4:I$4,MATCH(MIN(IFERROR(C9:I9,"")),C9:I9,0)))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46</v>
      </c>
      <c r="D10" s="6">
        <v>26</v>
      </c>
      <c r="E10" s="3">
        <v>12</v>
      </c>
      <c r="F10" s="3">
        <v>37</v>
      </c>
      <c r="G10" s="3">
        <v>29</v>
      </c>
      <c r="H10" s="3">
        <v>30</v>
      </c>
      <c r="I10" s="3">
        <v>18</v>
      </c>
      <c r="J10" s="5" t="str" cm="1">
        <f t="array" ref="J10">TRIM(INDEX(C$4:I$4,MATCH(MIN(IFERROR(C10:I10,"")),C10:I10,0)))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77</v>
      </c>
      <c r="D11" s="6">
        <v>49</v>
      </c>
      <c r="E11" s="3">
        <v>14</v>
      </c>
      <c r="F11" s="3">
        <v>66</v>
      </c>
      <c r="G11" s="3">
        <v>59</v>
      </c>
      <c r="H11" s="3">
        <v>60</v>
      </c>
      <c r="I11" s="3">
        <v>33</v>
      </c>
      <c r="J11" s="5" t="str" cm="1">
        <f t="array" ref="J11">TRIM(INDEX(C$4:I$4,MATCH(MIN(IFERROR(C11:I11,"")),C11:I11,0)))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126</v>
      </c>
      <c r="D12" s="6">
        <v>84</v>
      </c>
      <c r="E12" s="3">
        <v>36</v>
      </c>
      <c r="F12" s="3">
        <v>177</v>
      </c>
      <c r="G12" s="3">
        <v>119</v>
      </c>
      <c r="H12" s="3">
        <v>118</v>
      </c>
      <c r="I12" s="3">
        <v>60</v>
      </c>
      <c r="J12" s="5" t="str" cm="1">
        <f t="array" ref="J12">TRIM(INDEX(C$4:I$4,MATCH(MIN(IFERROR(C12:I12,"")),C12:I12,0)))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346</v>
      </c>
      <c r="D13" s="6">
        <v>534</v>
      </c>
      <c r="E13" s="3">
        <v>47</v>
      </c>
      <c r="F13" s="3">
        <v>236</v>
      </c>
      <c r="G13" s="3">
        <v>223</v>
      </c>
      <c r="H13" s="3">
        <v>245</v>
      </c>
      <c r="I13" s="3">
        <v>124</v>
      </c>
      <c r="J13" s="5" t="str" cm="1">
        <f t="array" ref="J13">TRIM(INDEX(C$4:I$4,MATCH(MIN(IFERROR(C13:I13,"")),C13:I13,0)))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505</v>
      </c>
      <c r="D14" s="6">
        <v>372</v>
      </c>
      <c r="E14" s="3">
        <v>88</v>
      </c>
      <c r="F14" s="3">
        <v>425</v>
      </c>
      <c r="G14" s="3">
        <v>523</v>
      </c>
      <c r="H14" s="3">
        <v>446</v>
      </c>
      <c r="I14" s="3">
        <v>258</v>
      </c>
      <c r="J14" s="5" t="str" cm="1">
        <f t="array" ref="J14">TRIM(INDEX(C$4:I$4,MATCH(MIN(IFERROR(C14:I14,"")),C14:I14,0)))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1006</v>
      </c>
      <c r="D15" s="6">
        <v>752</v>
      </c>
      <c r="E15" s="3">
        <v>228</v>
      </c>
      <c r="F15" s="3">
        <v>1083</v>
      </c>
      <c r="G15" s="3">
        <v>955</v>
      </c>
      <c r="H15" s="3">
        <v>988</v>
      </c>
      <c r="I15" s="3">
        <v>468</v>
      </c>
      <c r="J15" s="5" t="str" cm="1">
        <f t="array" ref="J15">TRIM(INDEX(C$4:I$4,MATCH(MIN(IFERROR(C15:I15,"")),C15:I15,0)))</f>
        <v>Scripting Dictionary (early-binded)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2143</v>
      </c>
      <c r="D16" s="6">
        <v>3468</v>
      </c>
      <c r="E16" s="3">
        <v>382</v>
      </c>
      <c r="F16" s="3">
        <v>1779</v>
      </c>
      <c r="G16" s="3">
        <v>1933</v>
      </c>
      <c r="H16" s="3">
        <v>2608</v>
      </c>
      <c r="I16" s="3">
        <v>999</v>
      </c>
      <c r="J16" s="5" t="str" cm="1">
        <f t="array" ref="J16">TRIM(INDEX(C$4:I$4,MATCH(MIN(IFERROR(C16:I16,"")),C16:I16,0)))</f>
        <v>Scripting Dictionary (early-binded)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5918</v>
      </c>
      <c r="D17" s="6">
        <v>4377</v>
      </c>
      <c r="E17" s="3">
        <v>784</v>
      </c>
      <c r="F17" s="3">
        <v>3903</v>
      </c>
      <c r="G17" s="3">
        <v>3749</v>
      </c>
      <c r="H17" s="3">
        <v>3872</v>
      </c>
      <c r="I17" s="3">
        <v>1832</v>
      </c>
      <c r="J17" s="5" t="str" cm="1">
        <f t="array" ref="J17">TRIM(INDEX(C$4:I$4,MATCH(MIN(IFERROR(C17:I17,"")),C17:I17,0)))</f>
        <v>Scripting Dictionary (early-binded)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8892</v>
      </c>
      <c r="D18" s="6">
        <v>9380</v>
      </c>
      <c r="E18" s="3">
        <v>1822</v>
      </c>
      <c r="F18" s="3">
        <v>8326</v>
      </c>
      <c r="G18" s="3">
        <v>8223</v>
      </c>
      <c r="H18" s="3">
        <v>8009</v>
      </c>
      <c r="I18" s="3">
        <v>4005</v>
      </c>
      <c r="J18" s="5" t="str" cm="1">
        <f t="array" ref="J18">TRIM(INDEX(C$4:I$4,MATCH(MIN(IFERROR(C18:I18,"")),C18:I18,0)))</f>
        <v>Scripting Dictionary (early-binded)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20016</v>
      </c>
      <c r="D19" s="6">
        <v>20084</v>
      </c>
      <c r="E19" s="3">
        <v>4287</v>
      </c>
      <c r="F19" s="3">
        <v>16081</v>
      </c>
      <c r="G19" s="3">
        <v>16510</v>
      </c>
      <c r="H19" s="3">
        <v>18823</v>
      </c>
      <c r="I19" s="3">
        <v>8226</v>
      </c>
      <c r="J19" s="5" t="str" cm="1">
        <f t="array" ref="J19">TRIM(INDEX(C$4:I$4,MATCH(MIN(IFERROR(C19:I19,"")),C19:I19,0)))</f>
        <v>Scripting Dictionary (early-binded)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41528</v>
      </c>
      <c r="D20" s="6">
        <v>44151</v>
      </c>
      <c r="E20" s="3">
        <v>11957</v>
      </c>
      <c r="F20" s="3">
        <v>34601</v>
      </c>
      <c r="G20" s="3">
        <v>34112</v>
      </c>
      <c r="H20" s="3">
        <v>36612</v>
      </c>
      <c r="I20" s="3">
        <v>21850</v>
      </c>
      <c r="J20" s="5" t="str" cm="1">
        <f t="array" ref="J20">TRIM(INDEX(C$4:I$4,MATCH(MIN(IFERROR(C20:I20,"")),C20:I20,0)))</f>
        <v>Scripting Dictionary (early-binded)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112852</v>
      </c>
      <c r="D21" s="6">
        <v>108099</v>
      </c>
      <c r="E21" s="19">
        <v>51059</v>
      </c>
      <c r="F21" s="3">
        <v>79849</v>
      </c>
      <c r="G21" s="3">
        <v>79816</v>
      </c>
      <c r="H21" s="3">
        <v>75204</v>
      </c>
      <c r="I21" s="3">
        <v>34407</v>
      </c>
      <c r="J21" s="5" t="str" cm="1">
        <f t="array" ref="J21">TRIM(INDEX(C$4:I$4,MATCH(MIN(IFERROR(C21:I21,"")),C21:I21,0)))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>
        <v>362078</v>
      </c>
      <c r="D22" s="6">
        <v>252071</v>
      </c>
      <c r="E22" s="19">
        <v>292734</v>
      </c>
      <c r="F22" s="3">
        <v>205072</v>
      </c>
      <c r="G22" s="3">
        <v>150197</v>
      </c>
      <c r="H22" s="3">
        <v>162462</v>
      </c>
      <c r="I22" s="3">
        <v>66964</v>
      </c>
      <c r="J22" s="5" t="str" cm="1">
        <f t="array" ref="J22">TRIM(INDEX(C$4:I$4,MATCH(MIN(IFERROR(C22:I22,"")),C22:I22,0)))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>
        <v>1233078</v>
      </c>
      <c r="D23" s="6">
        <v>531607</v>
      </c>
      <c r="E23" s="19">
        <v>975481</v>
      </c>
      <c r="F23" s="3">
        <v>447893</v>
      </c>
      <c r="G23" s="3">
        <v>263119</v>
      </c>
      <c r="H23" s="3">
        <v>286067</v>
      </c>
      <c r="I23" s="3">
        <v>130841</v>
      </c>
      <c r="J23" s="5" t="str" cm="1">
        <f t="array" ref="J23">TRIM(INDEX(C$4:I$4,MATCH(MIN(IFERROR(C23:I23,"")),C23:I23,0)))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>
        <v>7012566</v>
      </c>
      <c r="D24" s="6">
        <v>1211888</v>
      </c>
      <c r="E24" s="19">
        <v>7349980</v>
      </c>
      <c r="F24" s="3">
        <v>1547120</v>
      </c>
      <c r="G24" s="3">
        <v>588871</v>
      </c>
      <c r="H24" s="3">
        <v>642801</v>
      </c>
      <c r="I24" s="3">
        <v>281450</v>
      </c>
      <c r="J24" s="5" t="str" cm="1">
        <f t="array" ref="J24">TRIM(INDEX(C$4:I$4,MATCH(MIN(IFERROR(C24:I24,"")),C24:I24,0)))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>
        <v>2820803</v>
      </c>
      <c r="E25" s="19" t="s">
        <v>26</v>
      </c>
      <c r="F25" s="3">
        <v>5688590</v>
      </c>
      <c r="G25" s="3">
        <v>1235138</v>
      </c>
      <c r="H25" s="3">
        <v>1264961</v>
      </c>
      <c r="I25" s="3">
        <v>561095</v>
      </c>
      <c r="J25" s="5" t="str" cm="1">
        <f t="array" ref="J25">TRIM(INDEX(C$4:I$4,MATCH(MIN(IFERROR(C25:I25,"")),C25:I25,0)))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26</v>
      </c>
      <c r="F26" s="19" t="s">
        <v>26</v>
      </c>
      <c r="G26" s="3">
        <v>2981579</v>
      </c>
      <c r="H26" s="3">
        <v>2930487</v>
      </c>
      <c r="I26" s="3">
        <v>1128697</v>
      </c>
      <c r="J26" s="5" t="str" cm="1">
        <f t="array" ref="J26">TRIM(INDEX(C$4:I$4,MATCH(MIN(IFERROR(C26:I26,"")),C26:I26,0)))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26</v>
      </c>
      <c r="F27" s="19" t="s">
        <v>26</v>
      </c>
      <c r="G27" s="3">
        <v>8051297</v>
      </c>
      <c r="H27" s="3">
        <v>8064042</v>
      </c>
      <c r="I27" s="3">
        <v>2259184</v>
      </c>
      <c r="J27" s="5" t="str" cm="1">
        <f t="array" ref="J27">TRIM(INDEX(C$4:I$4,MATCH(MIN(IFERROR(C27:I27,"")),C27:I27,0)))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26</v>
      </c>
      <c r="D28" s="20" t="s">
        <v>26</v>
      </c>
      <c r="E28" s="19" t="s">
        <v>26</v>
      </c>
      <c r="F28" s="19" t="s">
        <v>26</v>
      </c>
      <c r="G28" s="3">
        <v>23439986</v>
      </c>
      <c r="H28" s="3">
        <v>23376207</v>
      </c>
      <c r="I28" s="3">
        <v>4633868</v>
      </c>
      <c r="J28" s="5" t="str" cm="1">
        <f t="array" ref="J28">TRIM(INDEX(C$4:I$4,MATCH(MIN(IFERROR(C28:I28,"")),C28:I28,0)))</f>
        <v>Dictionary (50% load)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26</v>
      </c>
      <c r="D29" s="22" t="s">
        <v>26</v>
      </c>
      <c r="E29" s="23" t="s">
        <v>26</v>
      </c>
      <c r="F29" s="23" t="s">
        <v>26</v>
      </c>
      <c r="G29" s="13">
        <v>77332304</v>
      </c>
      <c r="H29" s="13">
        <v>76811262</v>
      </c>
      <c r="I29" s="13">
        <v>10067841</v>
      </c>
      <c r="J29" s="14" t="str" cm="1">
        <f t="array" ref="J29">TRIM(INDEX(C$4:I$4,MATCH(MIN(IFERROR(C29:I29,"")),C29:I29,0)))</f>
        <v>Dictionary (50% load)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B96EE-6D12-49E9-BC45-8BEBFC647013}">
  <sheetPr codeName="Sheet6"/>
  <dimension ref="A1:S38"/>
  <sheetViews>
    <sheetView showGridLines="0" zoomScale="85" zoomScaleNormal="85" workbookViewId="0">
      <selection activeCell="M5" sqref="M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24</v>
      </c>
      <c r="C1" t="str">
        <f>KeyType</f>
        <v>Text (len 40-60, text compare, ASCII)</v>
      </c>
    </row>
    <row r="2" spans="1:19" x14ac:dyDescent="0.25">
      <c r="B2" t="s">
        <v>23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25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4</v>
      </c>
      <c r="D5" s="6">
        <v>11</v>
      </c>
      <c r="E5" s="3">
        <v>3</v>
      </c>
      <c r="F5" s="3">
        <v>3</v>
      </c>
      <c r="G5" s="3">
        <v>3</v>
      </c>
      <c r="H5" s="3">
        <v>3</v>
      </c>
      <c r="I5" s="3">
        <v>3</v>
      </c>
      <c r="J5" s="5" t="str" cm="1">
        <f t="array" ref="J5">TRIM(INDEX(C$4:I$4,MATCH(MIN(IFERROR(C5:I5,"")),C5:I5,0)))</f>
        <v>Scripting Dictionary (early-binded)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4</v>
      </c>
      <c r="D6" s="6">
        <v>13</v>
      </c>
      <c r="E6" s="3">
        <v>3</v>
      </c>
      <c r="F6" s="3">
        <v>4</v>
      </c>
      <c r="G6" s="3">
        <v>4</v>
      </c>
      <c r="H6" s="3">
        <v>4</v>
      </c>
      <c r="I6" s="3">
        <v>2</v>
      </c>
      <c r="J6" s="5" t="str" cm="1">
        <f t="array" ref="J6">TRIM(INDEX(C$4:I$4,MATCH(MIN(IFERROR(C6:I6,"")),C6:I6,0)))</f>
        <v>Dictionary (50% load)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6</v>
      </c>
      <c r="D7" s="6">
        <v>16</v>
      </c>
      <c r="E7" s="3">
        <v>3</v>
      </c>
      <c r="F7" s="3">
        <v>5</v>
      </c>
      <c r="G7" s="3">
        <v>5</v>
      </c>
      <c r="H7" s="3">
        <v>5</v>
      </c>
      <c r="I7" s="3">
        <v>3</v>
      </c>
      <c r="J7" s="5" t="str" cm="1">
        <f t="array" ref="J7">TRIM(INDEX(C$4:I$4,MATCH(MIN(IFERROR(C7:I7,"")),C7:I7,0)))</f>
        <v>Scripting Dictionary (early-binded)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10</v>
      </c>
      <c r="D8" s="6">
        <v>42</v>
      </c>
      <c r="E8" s="3">
        <v>3</v>
      </c>
      <c r="F8" s="3">
        <v>9</v>
      </c>
      <c r="G8" s="3">
        <v>8</v>
      </c>
      <c r="H8" s="3">
        <v>10</v>
      </c>
      <c r="I8" s="3">
        <v>5</v>
      </c>
      <c r="J8" s="5" t="str" cm="1">
        <f t="array" ref="J8">TRIM(INDEX(C$4:I$4,MATCH(MIN(IFERROR(C8:I8,"")),C8:I8,0)))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19</v>
      </c>
      <c r="D9" s="6">
        <v>30</v>
      </c>
      <c r="E9" s="3">
        <v>6</v>
      </c>
      <c r="F9" s="3">
        <v>18</v>
      </c>
      <c r="G9" s="3">
        <v>17</v>
      </c>
      <c r="H9" s="3">
        <v>16</v>
      </c>
      <c r="I9" s="3">
        <v>8</v>
      </c>
      <c r="J9" s="5" t="str" cm="1">
        <f t="array" ref="J9">TRIM(INDEX(C$4:I$4,MATCH(MIN(IFERROR(C9:I9,"")),C9:I9,0)))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40</v>
      </c>
      <c r="D10" s="6">
        <v>59</v>
      </c>
      <c r="E10" s="3">
        <v>6</v>
      </c>
      <c r="F10" s="3">
        <v>34</v>
      </c>
      <c r="G10" s="3">
        <v>28</v>
      </c>
      <c r="H10" s="3">
        <v>28</v>
      </c>
      <c r="I10" s="3">
        <v>15</v>
      </c>
      <c r="J10" s="5" t="str" cm="1">
        <f t="array" ref="J10">TRIM(INDEX(C$4:I$4,MATCH(MIN(IFERROR(C10:I10,"")),C10:I10,0)))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66</v>
      </c>
      <c r="D11" s="6">
        <v>103</v>
      </c>
      <c r="E11" s="3">
        <v>12</v>
      </c>
      <c r="F11" s="3">
        <v>63</v>
      </c>
      <c r="G11" s="3">
        <v>58</v>
      </c>
      <c r="H11" s="3">
        <v>60</v>
      </c>
      <c r="I11" s="3">
        <v>27</v>
      </c>
      <c r="J11" s="5" t="str" cm="1">
        <f t="array" ref="J11">TRIM(INDEX(C$4:I$4,MATCH(MIN(IFERROR(C11:I11,"")),C11:I11,0)))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120</v>
      </c>
      <c r="D12" s="6">
        <v>180</v>
      </c>
      <c r="E12" s="3">
        <v>34</v>
      </c>
      <c r="F12" s="3">
        <v>153</v>
      </c>
      <c r="G12" s="3">
        <v>112</v>
      </c>
      <c r="H12" s="3">
        <v>120</v>
      </c>
      <c r="I12" s="3">
        <v>54</v>
      </c>
      <c r="J12" s="5" t="str" cm="1">
        <f t="array" ref="J12">TRIM(INDEX(C$4:I$4,MATCH(MIN(IFERROR(C12:I12,"")),C12:I12,0)))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280</v>
      </c>
      <c r="D13" s="6">
        <v>379</v>
      </c>
      <c r="E13" s="3">
        <v>38</v>
      </c>
      <c r="F13" s="3">
        <v>227</v>
      </c>
      <c r="G13" s="3">
        <v>204</v>
      </c>
      <c r="H13" s="3">
        <v>242</v>
      </c>
      <c r="I13" s="3">
        <v>106</v>
      </c>
      <c r="J13" s="5" t="str" cm="1">
        <f t="array" ref="J13">TRIM(INDEX(C$4:I$4,MATCH(MIN(IFERROR(C13:I13,"")),C13:I13,0)))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511</v>
      </c>
      <c r="D14" s="6">
        <v>742</v>
      </c>
      <c r="E14" s="3">
        <v>81</v>
      </c>
      <c r="F14" s="3">
        <v>414</v>
      </c>
      <c r="G14" s="3">
        <v>514</v>
      </c>
      <c r="H14" s="3">
        <v>445</v>
      </c>
      <c r="I14" s="3">
        <v>251</v>
      </c>
      <c r="J14" s="5" t="str" cm="1">
        <f t="array" ref="J14">TRIM(INDEX(C$4:I$4,MATCH(MIN(IFERROR(C14:I14,"")),C14:I14,0)))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1048</v>
      </c>
      <c r="D15" s="6">
        <v>1448</v>
      </c>
      <c r="E15" s="3">
        <v>309</v>
      </c>
      <c r="F15" s="3">
        <v>971</v>
      </c>
      <c r="G15" s="3">
        <v>922</v>
      </c>
      <c r="H15" s="3">
        <v>974</v>
      </c>
      <c r="I15" s="3">
        <v>393</v>
      </c>
      <c r="J15" s="5" t="str" cm="1">
        <f t="array" ref="J15">TRIM(INDEX(C$4:I$4,MATCH(MIN(IFERROR(C15:I15,"")),C15:I15,0)))</f>
        <v>Scripting Dictionary (early-binded)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2231</v>
      </c>
      <c r="D16" s="6">
        <v>3992</v>
      </c>
      <c r="E16" s="3">
        <v>323</v>
      </c>
      <c r="F16" s="3">
        <v>1730</v>
      </c>
      <c r="G16" s="3">
        <v>1847</v>
      </c>
      <c r="H16" s="3">
        <v>2322</v>
      </c>
      <c r="I16" s="3">
        <v>835</v>
      </c>
      <c r="J16" s="5" t="str" cm="1">
        <f t="array" ref="J16">TRIM(INDEX(C$4:I$4,MATCH(MIN(IFERROR(C16:I16,"")),C16:I16,0)))</f>
        <v>Scripting Dictionary (early-binded)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5340</v>
      </c>
      <c r="D17" s="6">
        <v>8596</v>
      </c>
      <c r="E17" s="3">
        <v>713</v>
      </c>
      <c r="F17" s="3">
        <v>3698</v>
      </c>
      <c r="G17" s="3">
        <v>3898</v>
      </c>
      <c r="H17" s="3">
        <v>3996</v>
      </c>
      <c r="I17" s="3">
        <v>1573</v>
      </c>
      <c r="J17" s="5" t="str" cm="1">
        <f t="array" ref="J17">TRIM(INDEX(C$4:I$4,MATCH(MIN(IFERROR(C17:I17,"")),C17:I17,0)))</f>
        <v>Scripting Dictionary (early-binded)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9439</v>
      </c>
      <c r="D18" s="6">
        <v>16205</v>
      </c>
      <c r="E18" s="3">
        <v>1746</v>
      </c>
      <c r="F18" s="3">
        <v>8126</v>
      </c>
      <c r="G18" s="3">
        <v>8168</v>
      </c>
      <c r="H18" s="3">
        <v>7634</v>
      </c>
      <c r="I18" s="3">
        <v>2903</v>
      </c>
      <c r="J18" s="5" t="str" cm="1">
        <f t="array" ref="J18">TRIM(INDEX(C$4:I$4,MATCH(MIN(IFERROR(C18:I18,"")),C18:I18,0)))</f>
        <v>Scripting Dictionary (early-binded)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20761</v>
      </c>
      <c r="D19" s="6">
        <v>34969</v>
      </c>
      <c r="E19" s="3">
        <v>5183</v>
      </c>
      <c r="F19" s="3">
        <v>15725</v>
      </c>
      <c r="G19" s="3">
        <v>15793</v>
      </c>
      <c r="H19" s="3">
        <v>18141</v>
      </c>
      <c r="I19" s="3">
        <v>6720</v>
      </c>
      <c r="J19" s="5" t="str" cm="1">
        <f t="array" ref="J19">TRIM(INDEX(C$4:I$4,MATCH(MIN(IFERROR(C19:I19,"")),C19:I19,0)))</f>
        <v>Scripting Dictionary (early-binded)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49336</v>
      </c>
      <c r="D20" s="6">
        <v>72802</v>
      </c>
      <c r="E20" s="3">
        <v>18438</v>
      </c>
      <c r="F20" s="3">
        <v>37092</v>
      </c>
      <c r="G20" s="3">
        <v>33976</v>
      </c>
      <c r="H20" s="3">
        <v>38032</v>
      </c>
      <c r="I20" s="3">
        <v>13515</v>
      </c>
      <c r="J20" s="5" t="str" cm="1">
        <f t="array" ref="J20">TRIM(INDEX(C$4:I$4,MATCH(MIN(IFERROR(C20:I20,"")),C20:I20,0)))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163578</v>
      </c>
      <c r="D21" s="6">
        <v>187544</v>
      </c>
      <c r="E21" s="19">
        <v>84964</v>
      </c>
      <c r="F21" s="3">
        <v>84712</v>
      </c>
      <c r="G21" s="3">
        <v>73576</v>
      </c>
      <c r="H21" s="3">
        <v>81379</v>
      </c>
      <c r="I21" s="3">
        <v>28894</v>
      </c>
      <c r="J21" s="5" t="str" cm="1">
        <f t="array" ref="J21">TRIM(INDEX(C$4:I$4,MATCH(MIN(IFERROR(C21:I21,"")),C21:I21,0)))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>
        <v>699404</v>
      </c>
      <c r="D22" s="6">
        <v>436065</v>
      </c>
      <c r="E22" s="19">
        <v>541596</v>
      </c>
      <c r="F22" s="3">
        <v>240054</v>
      </c>
      <c r="G22" s="3">
        <v>152325</v>
      </c>
      <c r="H22" s="3">
        <v>161486</v>
      </c>
      <c r="I22" s="3">
        <v>52810</v>
      </c>
      <c r="J22" s="5" t="str" cm="1">
        <f t="array" ref="J22">TRIM(INDEX(C$4:I$4,MATCH(MIN(IFERROR(C22:I22,"")),C22:I22,0)))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>
        <v>3014009</v>
      </c>
      <c r="D23" s="6">
        <v>777997</v>
      </c>
      <c r="E23" s="19">
        <v>2828314</v>
      </c>
      <c r="F23" s="3">
        <v>649631</v>
      </c>
      <c r="G23" s="3">
        <v>264097</v>
      </c>
      <c r="H23" s="3">
        <v>303187</v>
      </c>
      <c r="I23" s="3">
        <v>102922</v>
      </c>
      <c r="J23" s="5" t="str" cm="1">
        <f t="array" ref="J23">TRIM(INDEX(C$4:I$4,MATCH(MIN(IFERROR(C23:I23,"")),C23:I23,0)))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>
        <v>17284765</v>
      </c>
      <c r="D24" s="6">
        <v>1822019</v>
      </c>
      <c r="E24" s="19">
        <v>18405122</v>
      </c>
      <c r="F24" s="3">
        <v>2684384</v>
      </c>
      <c r="G24" s="3">
        <v>605503</v>
      </c>
      <c r="H24" s="3">
        <v>683192</v>
      </c>
      <c r="I24" s="3">
        <v>234269</v>
      </c>
      <c r="J24" s="5" t="str" cm="1">
        <f t="array" ref="J24">TRIM(INDEX(C$4:I$4,MATCH(MIN(IFERROR(C24:I24,"")),C24:I24,0)))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>
        <v>4024047</v>
      </c>
      <c r="E25" s="19" t="s">
        <v>26</v>
      </c>
      <c r="F25" s="3">
        <v>10803318</v>
      </c>
      <c r="G25" s="3">
        <v>1366536</v>
      </c>
      <c r="H25" s="3">
        <v>1388268</v>
      </c>
      <c r="I25" s="3">
        <v>462514</v>
      </c>
      <c r="J25" s="5" t="str" cm="1">
        <f t="array" ref="J25">TRIM(INDEX(C$4:I$4,MATCH(MIN(IFERROR(C25:I25,"")),C25:I25,0)))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26</v>
      </c>
      <c r="F26" s="19" t="s">
        <v>26</v>
      </c>
      <c r="G26" s="3">
        <v>3827648</v>
      </c>
      <c r="H26" s="3">
        <v>3776160</v>
      </c>
      <c r="I26" s="3">
        <v>959682</v>
      </c>
      <c r="J26" s="5" t="str" cm="1">
        <f t="array" ref="J26">TRIM(INDEX(C$4:I$4,MATCH(MIN(IFERROR(C26:I26,"")),C26:I26,0)))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26</v>
      </c>
      <c r="F27" s="19" t="s">
        <v>26</v>
      </c>
      <c r="G27" s="3">
        <v>11668880</v>
      </c>
      <c r="H27" s="3">
        <v>11405474</v>
      </c>
      <c r="I27" s="3">
        <v>1912715</v>
      </c>
      <c r="J27" s="5" t="str" cm="1">
        <f t="array" ref="J27">TRIM(INDEX(C$4:I$4,MATCH(MIN(IFERROR(C27:I27,"")),C27:I27,0)))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26</v>
      </c>
      <c r="D28" s="20" t="s">
        <v>26</v>
      </c>
      <c r="E28" s="19" t="s">
        <v>26</v>
      </c>
      <c r="F28" s="19" t="s">
        <v>26</v>
      </c>
      <c r="G28" s="3">
        <v>36764713</v>
      </c>
      <c r="H28" s="3">
        <v>36178770</v>
      </c>
      <c r="I28" s="3">
        <v>3961455</v>
      </c>
      <c r="J28" s="5" t="str" cm="1">
        <f t="array" ref="J28">TRIM(INDEX(C$4:I$4,MATCH(MIN(IFERROR(C28:I28,"")),C28:I28,0)))</f>
        <v>Dictionary (50% load)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26</v>
      </c>
      <c r="D29" s="22" t="s">
        <v>26</v>
      </c>
      <c r="E29" s="23" t="s">
        <v>26</v>
      </c>
      <c r="F29" s="23" t="s">
        <v>26</v>
      </c>
      <c r="G29" s="13">
        <v>135118925</v>
      </c>
      <c r="H29" s="13">
        <v>134947145</v>
      </c>
      <c r="I29" s="13">
        <v>8737434</v>
      </c>
      <c r="J29" s="14" t="str" cm="1">
        <f t="array" ref="J29">TRIM(INDEX(C$4:I$4,MATCH(MIN(IFERROR(C29:I29,"")),C29:I29,0)))</f>
        <v>Dictionary (50% load)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E37F5-6A60-45C7-B37E-91527450CD9B}">
  <sheetPr codeName="Sheet7"/>
  <dimension ref="A1:S38"/>
  <sheetViews>
    <sheetView showGridLines="0" zoomScale="85" zoomScaleNormal="85" workbookViewId="0">
      <selection activeCell="M5" sqref="M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24</v>
      </c>
      <c r="C1" t="str">
        <f>KeyType</f>
        <v>Text (len 40-60, text compare, ASCII)</v>
      </c>
    </row>
    <row r="2" spans="1:19" x14ac:dyDescent="0.25">
      <c r="B2" t="s">
        <v>23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25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</v>
      </c>
      <c r="D5" s="6">
        <v>2</v>
      </c>
      <c r="E5" s="3">
        <v>5</v>
      </c>
      <c r="F5" s="3">
        <v>3</v>
      </c>
      <c r="G5" s="3">
        <v>3</v>
      </c>
      <c r="H5" s="3">
        <v>3</v>
      </c>
      <c r="I5" s="3">
        <v>3</v>
      </c>
      <c r="J5" s="5" t="str" cm="1">
        <f t="array" ref="J5">TRIM(INDEX(C$4:I$4,MATCH(MIN(IFERROR(C5:I5,"")),C5:I5,0)))</f>
        <v>VBA Collection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8</v>
      </c>
      <c r="D6" s="6">
        <v>2</v>
      </c>
      <c r="E6" s="3">
        <v>5</v>
      </c>
      <c r="F6" s="3">
        <v>4</v>
      </c>
      <c r="G6" s="3">
        <v>5</v>
      </c>
      <c r="H6" s="3">
        <v>4</v>
      </c>
      <c r="I6" s="3">
        <v>3</v>
      </c>
      <c r="J6" s="5" t="str" cm="1">
        <f t="array" ref="J6">TRIM(INDEX(C$4:I$4,MATCH(MIN(IFERROR(C6:I6,"")),C6:I6,0)))</f>
        <v>VBA Collection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11</v>
      </c>
      <c r="D7" s="6">
        <v>3</v>
      </c>
      <c r="E7" s="3">
        <v>6</v>
      </c>
      <c r="F7" s="3">
        <v>6</v>
      </c>
      <c r="G7" s="3">
        <v>6</v>
      </c>
      <c r="H7" s="3">
        <v>6</v>
      </c>
      <c r="I7" s="3">
        <v>4</v>
      </c>
      <c r="J7" s="5" t="str" cm="1">
        <f t="array" ref="J7">TRIM(INDEX(C$4:I$4,MATCH(MIN(IFERROR(C7:I7,"")),C7:I7,0)))</f>
        <v>VBA Collection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19</v>
      </c>
      <c r="D8" s="6">
        <v>9</v>
      </c>
      <c r="E8" s="3">
        <v>4</v>
      </c>
      <c r="F8" s="3">
        <v>9</v>
      </c>
      <c r="G8" s="3">
        <v>14</v>
      </c>
      <c r="H8" s="3">
        <v>10</v>
      </c>
      <c r="I8" s="3">
        <v>6</v>
      </c>
      <c r="J8" s="5" t="str" cm="1">
        <f t="array" ref="J8">TRIM(INDEX(C$4:I$4,MATCH(MIN(IFERROR(C8:I8,"")),C8:I8,0)))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34</v>
      </c>
      <c r="D9" s="6">
        <v>7</v>
      </c>
      <c r="E9" s="3">
        <v>6</v>
      </c>
      <c r="F9" s="3">
        <v>19</v>
      </c>
      <c r="G9" s="3">
        <v>18</v>
      </c>
      <c r="H9" s="3">
        <v>17</v>
      </c>
      <c r="I9" s="3">
        <v>10</v>
      </c>
      <c r="J9" s="5" t="str" cm="1">
        <f t="array" ref="J9">TRIM(INDEX(C$4:I$4,MATCH(MIN(IFERROR(C9:I9,"")),C9:I9,0)))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74</v>
      </c>
      <c r="D10" s="6">
        <v>19</v>
      </c>
      <c r="E10" s="3">
        <v>11</v>
      </c>
      <c r="F10" s="3">
        <v>38</v>
      </c>
      <c r="G10" s="3">
        <v>35</v>
      </c>
      <c r="H10" s="3">
        <v>31</v>
      </c>
      <c r="I10" s="3">
        <v>19</v>
      </c>
      <c r="J10" s="5" t="str" cm="1">
        <f t="array" ref="J10">TRIM(INDEX(C$4:I$4,MATCH(MIN(IFERROR(C10:I10,"")),C10:I10,0)))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130</v>
      </c>
      <c r="D11" s="6">
        <v>32</v>
      </c>
      <c r="E11" s="3">
        <v>14</v>
      </c>
      <c r="F11" s="3">
        <v>68</v>
      </c>
      <c r="G11" s="3">
        <v>61</v>
      </c>
      <c r="H11" s="3">
        <v>62</v>
      </c>
      <c r="I11" s="3">
        <v>34</v>
      </c>
      <c r="J11" s="5" t="str" cm="1">
        <f t="array" ref="J11">TRIM(INDEX(C$4:I$4,MATCH(MIN(IFERROR(C11:I11,"")),C11:I11,0)))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242</v>
      </c>
      <c r="D12" s="6">
        <v>62</v>
      </c>
      <c r="E12" s="3">
        <v>36</v>
      </c>
      <c r="F12" s="3">
        <v>184</v>
      </c>
      <c r="G12" s="3">
        <v>112</v>
      </c>
      <c r="H12" s="3">
        <v>129</v>
      </c>
      <c r="I12" s="3">
        <v>66</v>
      </c>
      <c r="J12" s="5" t="str" cm="1">
        <f t="array" ref="J12">TRIM(INDEX(C$4:I$4,MATCH(MIN(IFERROR(C12:I12,"")),C12:I12,0)))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541</v>
      </c>
      <c r="D13" s="6">
        <v>142</v>
      </c>
      <c r="E13" s="3">
        <v>47</v>
      </c>
      <c r="F13" s="3">
        <v>263</v>
      </c>
      <c r="G13" s="3">
        <v>223</v>
      </c>
      <c r="H13" s="3">
        <v>252</v>
      </c>
      <c r="I13" s="3">
        <v>124</v>
      </c>
      <c r="J13" s="5" t="str" cm="1">
        <f t="array" ref="J13">TRIM(INDEX(C$4:I$4,MATCH(MIN(IFERROR(C13:I13,"")),C13:I13,0)))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964</v>
      </c>
      <c r="D14" s="6">
        <v>296</v>
      </c>
      <c r="E14" s="3">
        <v>102</v>
      </c>
      <c r="F14" s="3">
        <v>453</v>
      </c>
      <c r="G14" s="3">
        <v>569</v>
      </c>
      <c r="H14" s="3">
        <v>463</v>
      </c>
      <c r="I14" s="3">
        <v>346</v>
      </c>
      <c r="J14" s="5" t="str" cm="1">
        <f t="array" ref="J14">TRIM(INDEX(C$4:I$4,MATCH(MIN(IFERROR(C14:I14,"")),C14:I14,0)))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2160</v>
      </c>
      <c r="D15" s="6">
        <v>609</v>
      </c>
      <c r="E15" s="3">
        <v>214</v>
      </c>
      <c r="F15" s="3">
        <v>1012</v>
      </c>
      <c r="G15" s="3">
        <v>966</v>
      </c>
      <c r="H15" s="3">
        <v>1014</v>
      </c>
      <c r="I15" s="3">
        <v>489</v>
      </c>
      <c r="J15" s="5" t="str" cm="1">
        <f t="array" ref="J15">TRIM(INDEX(C$4:I$4,MATCH(MIN(IFERROR(C15:I15,"")),C15:I15,0)))</f>
        <v>Scripting Dictionary (early-binded)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4524</v>
      </c>
      <c r="D16" s="6">
        <v>1811</v>
      </c>
      <c r="E16" s="3">
        <v>362</v>
      </c>
      <c r="F16" s="3">
        <v>2004</v>
      </c>
      <c r="G16" s="3">
        <v>2007</v>
      </c>
      <c r="H16" s="3">
        <v>2097</v>
      </c>
      <c r="I16" s="3">
        <v>1082</v>
      </c>
      <c r="J16" s="5" t="str" cm="1">
        <f t="array" ref="J16">TRIM(INDEX(C$4:I$4,MATCH(MIN(IFERROR(C16:I16,"")),C16:I16,0)))</f>
        <v>Scripting Dictionary (early-binded)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9538</v>
      </c>
      <c r="D17" s="6">
        <v>3768</v>
      </c>
      <c r="E17" s="3">
        <v>777</v>
      </c>
      <c r="F17" s="3">
        <v>4045</v>
      </c>
      <c r="G17" s="3">
        <v>4515</v>
      </c>
      <c r="H17" s="3">
        <v>4354</v>
      </c>
      <c r="I17" s="3">
        <v>1957</v>
      </c>
      <c r="J17" s="5" t="str" cm="1">
        <f t="array" ref="J17">TRIM(INDEX(C$4:I$4,MATCH(MIN(IFERROR(C17:I17,"")),C17:I17,0)))</f>
        <v>Scripting Dictionary (early-binded)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18106</v>
      </c>
      <c r="D18" s="6">
        <v>7763</v>
      </c>
      <c r="E18" s="3">
        <v>1623</v>
      </c>
      <c r="F18" s="3">
        <v>8087</v>
      </c>
      <c r="G18" s="3">
        <v>8316</v>
      </c>
      <c r="H18" s="3">
        <v>7630</v>
      </c>
      <c r="I18" s="3">
        <v>3940</v>
      </c>
      <c r="J18" s="5" t="str" cm="1">
        <f t="array" ref="J18">TRIM(INDEX(C$4:I$4,MATCH(MIN(IFERROR(C18:I18,"")),C18:I18,0)))</f>
        <v>Scripting Dictionary (early-binded)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36290</v>
      </c>
      <c r="D19" s="6">
        <v>18086</v>
      </c>
      <c r="E19" s="3">
        <v>4423</v>
      </c>
      <c r="F19" s="3">
        <v>16477</v>
      </c>
      <c r="G19" s="3">
        <v>16797</v>
      </c>
      <c r="H19" s="3">
        <v>17933</v>
      </c>
      <c r="I19" s="3">
        <v>8144</v>
      </c>
      <c r="J19" s="5" t="str" cm="1">
        <f t="array" ref="J19">TRIM(INDEX(C$4:I$4,MATCH(MIN(IFERROR(C19:I19,"")),C19:I19,0)))</f>
        <v>Scripting Dictionary (early-binded)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75556</v>
      </c>
      <c r="D20" s="6">
        <v>39891</v>
      </c>
      <c r="E20" s="3">
        <v>12124</v>
      </c>
      <c r="F20" s="3">
        <v>40152</v>
      </c>
      <c r="G20" s="3">
        <v>35163</v>
      </c>
      <c r="H20" s="3">
        <v>39000</v>
      </c>
      <c r="I20" s="3">
        <v>17962</v>
      </c>
      <c r="J20" s="5" t="str" cm="1">
        <f t="array" ref="J20">TRIM(INDEX(C$4:I$4,MATCH(MIN(IFERROR(C20:I20,"")),C20:I20,0)))</f>
        <v>Scripting Dictionary (early-binded)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190644</v>
      </c>
      <c r="D21" s="6">
        <v>115857</v>
      </c>
      <c r="E21" s="19">
        <v>46817</v>
      </c>
      <c r="F21" s="3">
        <v>82789</v>
      </c>
      <c r="G21" s="3">
        <v>73352</v>
      </c>
      <c r="H21" s="3">
        <v>77080</v>
      </c>
      <c r="I21" s="3">
        <v>39088</v>
      </c>
      <c r="J21" s="5" t="str" cm="1">
        <f t="array" ref="J21">TRIM(INDEX(C$4:I$4,MATCH(MIN(IFERROR(C21:I21,"")),C21:I21,0)))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>
        <v>586999</v>
      </c>
      <c r="D22" s="6">
        <v>258208</v>
      </c>
      <c r="E22" s="19">
        <v>294634</v>
      </c>
      <c r="F22" s="3">
        <v>210762</v>
      </c>
      <c r="G22" s="3">
        <v>153899</v>
      </c>
      <c r="H22" s="3">
        <v>149399</v>
      </c>
      <c r="I22" s="3">
        <v>66368</v>
      </c>
      <c r="J22" s="5" t="str" cm="1">
        <f t="array" ref="J22">TRIM(INDEX(C$4:I$4,MATCH(MIN(IFERROR(C22:I22,"")),C22:I22,0)))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>
        <v>1851437</v>
      </c>
      <c r="D23" s="6">
        <v>464571</v>
      </c>
      <c r="E23" s="19">
        <v>1003340</v>
      </c>
      <c r="F23" s="3">
        <v>457054</v>
      </c>
      <c r="G23" s="3">
        <v>270122</v>
      </c>
      <c r="H23" s="3">
        <v>294906</v>
      </c>
      <c r="I23" s="3">
        <v>134313</v>
      </c>
      <c r="J23" s="5" t="str" cm="1">
        <f t="array" ref="J23">TRIM(INDEX(C$4:I$4,MATCH(MIN(IFERROR(C23:I23,"")),C23:I23,0)))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>
        <v>8087804</v>
      </c>
      <c r="D24" s="6">
        <v>1104218</v>
      </c>
      <c r="E24" s="19">
        <v>7011066</v>
      </c>
      <c r="F24" s="3">
        <v>1541689</v>
      </c>
      <c r="G24" s="3">
        <v>599689</v>
      </c>
      <c r="H24" s="3">
        <v>630467</v>
      </c>
      <c r="I24" s="3">
        <v>290153</v>
      </c>
      <c r="J24" s="5" t="str" cm="1">
        <f t="array" ref="J24">TRIM(INDEX(C$4:I$4,MATCH(MIN(IFERROR(C24:I24,"")),C24:I24,0)))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>
        <v>2593671</v>
      </c>
      <c r="E25" s="19" t="s">
        <v>26</v>
      </c>
      <c r="F25" s="3">
        <v>5734648</v>
      </c>
      <c r="G25" s="3">
        <v>1253734</v>
      </c>
      <c r="H25" s="3">
        <v>1261124</v>
      </c>
      <c r="I25" s="3">
        <v>567254</v>
      </c>
      <c r="J25" s="5" t="str" cm="1">
        <f t="array" ref="J25">TRIM(INDEX(C$4:I$4,MATCH(MIN(IFERROR(C25:I25,"")),C25:I25,0)))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26</v>
      </c>
      <c r="F26" s="19" t="s">
        <v>26</v>
      </c>
      <c r="G26" s="3">
        <v>3032181</v>
      </c>
      <c r="H26" s="3">
        <v>2957376</v>
      </c>
      <c r="I26" s="3">
        <v>1170528</v>
      </c>
      <c r="J26" s="5" t="str" cm="1">
        <f t="array" ref="J26">TRIM(INDEX(C$4:I$4,MATCH(MIN(IFERROR(C26:I26,"")),C26:I26,0)))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26</v>
      </c>
      <c r="F27" s="19" t="s">
        <v>26</v>
      </c>
      <c r="G27" s="3">
        <v>8333074</v>
      </c>
      <c r="H27" s="3">
        <v>8021275</v>
      </c>
      <c r="I27" s="3">
        <v>2363658</v>
      </c>
      <c r="J27" s="5" t="str" cm="1">
        <f t="array" ref="J27">TRIM(INDEX(C$4:I$4,MATCH(MIN(IFERROR(C27:I27,"")),C27:I27,0)))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26</v>
      </c>
      <c r="D28" s="20" t="s">
        <v>26</v>
      </c>
      <c r="E28" s="19" t="s">
        <v>26</v>
      </c>
      <c r="F28" s="19" t="s">
        <v>26</v>
      </c>
      <c r="G28" s="3">
        <v>23696384</v>
      </c>
      <c r="H28" s="3">
        <v>23670152</v>
      </c>
      <c r="I28" s="3">
        <v>4762461</v>
      </c>
      <c r="J28" s="5" t="str" cm="1">
        <f t="array" ref="J28">TRIM(INDEX(C$4:I$4,MATCH(MIN(IFERROR(C28:I28,"")),C28:I28,0)))</f>
        <v>Dictionary (50% load)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26</v>
      </c>
      <c r="D29" s="22" t="s">
        <v>26</v>
      </c>
      <c r="E29" s="23" t="s">
        <v>26</v>
      </c>
      <c r="F29" s="23" t="s">
        <v>26</v>
      </c>
      <c r="G29" s="13">
        <v>77553815</v>
      </c>
      <c r="H29" s="13">
        <v>77384596</v>
      </c>
      <c r="I29" s="13">
        <v>10119144</v>
      </c>
      <c r="J29" s="14" t="str" cm="1">
        <f t="array" ref="J29">TRIM(INDEX(C$4:I$4,MATCH(MIN(IFERROR(C29:I29,"")),C29:I29,0)))</f>
        <v>Dictionary (50% load)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379A-DED7-42A9-8643-F3DC8720140C}">
  <sheetPr codeName="Sheet8"/>
  <dimension ref="A1:S38"/>
  <sheetViews>
    <sheetView showGridLines="0" zoomScale="85" zoomScaleNormal="85" workbookViewId="0">
      <selection activeCell="N18" sqref="N18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24</v>
      </c>
      <c r="C1" t="str">
        <f>KeyType</f>
        <v>Text (len 40-60, text compare, ASCII)</v>
      </c>
    </row>
    <row r="2" spans="1:19" x14ac:dyDescent="0.25">
      <c r="B2" t="s">
        <v>23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25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3</v>
      </c>
      <c r="D5" s="6" t="s">
        <v>21</v>
      </c>
      <c r="E5" s="3">
        <v>4</v>
      </c>
      <c r="F5" s="3">
        <v>3</v>
      </c>
      <c r="G5" s="3">
        <v>3</v>
      </c>
      <c r="H5" s="3">
        <v>3</v>
      </c>
      <c r="I5" s="3">
        <v>3</v>
      </c>
      <c r="J5" s="5" t="str" cm="1">
        <f t="array" ref="J5">TRIM(INDEX(C$4:I$4,MATCH(MIN(IFERROR(C5:I5,"")),C5:I5,0)))</f>
        <v>Tim Hall's VBA-Dictionary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3</v>
      </c>
      <c r="D6" s="6" t="s">
        <v>21</v>
      </c>
      <c r="E6" s="3">
        <v>4</v>
      </c>
      <c r="F6" s="3">
        <v>4</v>
      </c>
      <c r="G6" s="3">
        <v>5</v>
      </c>
      <c r="H6" s="3">
        <v>4</v>
      </c>
      <c r="I6" s="3">
        <v>3</v>
      </c>
      <c r="J6" s="5" t="str" cm="1">
        <f t="array" ref="J6">TRIM(INDEX(C$4:I$4,MATCH(MIN(IFERROR(C6:I6,"")),C6:I6,0)))</f>
        <v>Tim Hall's VBA-Dictionary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4</v>
      </c>
      <c r="D7" s="6" t="s">
        <v>21</v>
      </c>
      <c r="E7" s="3">
        <v>4</v>
      </c>
      <c r="F7" s="3">
        <v>6</v>
      </c>
      <c r="G7" s="3">
        <v>6</v>
      </c>
      <c r="H7" s="3">
        <v>5</v>
      </c>
      <c r="I7" s="3">
        <v>4</v>
      </c>
      <c r="J7" s="5" t="str" cm="1">
        <f t="array" ref="J7">TRIM(INDEX(C$4:I$4,MATCH(MIN(IFERROR(C7:I7,"")),C7:I7,0)))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6</v>
      </c>
      <c r="D8" s="6" t="s">
        <v>21</v>
      </c>
      <c r="E8" s="3">
        <v>4</v>
      </c>
      <c r="F8" s="3">
        <v>8</v>
      </c>
      <c r="G8" s="3">
        <v>9</v>
      </c>
      <c r="H8" s="3">
        <v>9</v>
      </c>
      <c r="I8" s="3">
        <v>6</v>
      </c>
      <c r="J8" s="5" t="str" cm="1">
        <f t="array" ref="J8">TRIM(INDEX(C$4:I$4,MATCH(MIN(IFERROR(C8:I8,"")),C8:I8,0)))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9</v>
      </c>
      <c r="D9" s="6" t="s">
        <v>21</v>
      </c>
      <c r="E9" s="3">
        <v>7</v>
      </c>
      <c r="F9" s="3">
        <v>18</v>
      </c>
      <c r="G9" s="3">
        <v>17</v>
      </c>
      <c r="H9" s="3">
        <v>16</v>
      </c>
      <c r="I9" s="3">
        <v>10</v>
      </c>
      <c r="J9" s="5" t="str" cm="1">
        <f t="array" ref="J9">TRIM(INDEX(C$4:I$4,MATCH(MIN(IFERROR(C9:I9,"")),C9:I9,0)))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18</v>
      </c>
      <c r="D10" s="6" t="s">
        <v>21</v>
      </c>
      <c r="E10" s="3">
        <v>10</v>
      </c>
      <c r="F10" s="3">
        <v>36</v>
      </c>
      <c r="G10" s="3">
        <v>29</v>
      </c>
      <c r="H10" s="3">
        <v>31</v>
      </c>
      <c r="I10" s="3">
        <v>18</v>
      </c>
      <c r="J10" s="5" t="str" cm="1">
        <f t="array" ref="J10">TRIM(INDEX(C$4:I$4,MATCH(MIN(IFERROR(C10:I10,"")),C10:I10,0)))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30</v>
      </c>
      <c r="D11" s="6" t="s">
        <v>21</v>
      </c>
      <c r="E11" s="3">
        <v>16</v>
      </c>
      <c r="F11" s="3">
        <v>63</v>
      </c>
      <c r="G11" s="3">
        <v>58</v>
      </c>
      <c r="H11" s="3">
        <v>60</v>
      </c>
      <c r="I11" s="3">
        <v>33</v>
      </c>
      <c r="J11" s="5" t="str" cm="1">
        <f t="array" ref="J11">TRIM(INDEX(C$4:I$4,MATCH(MIN(IFERROR(C11:I11,"")),C11:I11,0)))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54</v>
      </c>
      <c r="D12" s="6" t="s">
        <v>21</v>
      </c>
      <c r="E12" s="3">
        <v>41</v>
      </c>
      <c r="F12" s="3">
        <v>164</v>
      </c>
      <c r="G12" s="3">
        <v>106</v>
      </c>
      <c r="H12" s="3">
        <v>110</v>
      </c>
      <c r="I12" s="3">
        <v>61</v>
      </c>
      <c r="J12" s="5" t="str" cm="1">
        <f t="array" ref="J12">TRIM(INDEX(C$4:I$4,MATCH(MIN(IFERROR(C12:I12,"")),C12:I12,0)))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126</v>
      </c>
      <c r="D13" s="6" t="s">
        <v>21</v>
      </c>
      <c r="E13" s="3">
        <v>51</v>
      </c>
      <c r="F13" s="3">
        <v>231</v>
      </c>
      <c r="G13" s="3">
        <v>211</v>
      </c>
      <c r="H13" s="3">
        <v>237</v>
      </c>
      <c r="I13" s="3">
        <v>122</v>
      </c>
      <c r="J13" s="5" t="str" cm="1">
        <f t="array" ref="J13">TRIM(INDEX(C$4:I$4,MATCH(MIN(IFERROR(C13:I13,"")),C13:I13,0)))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209</v>
      </c>
      <c r="D14" s="6" t="s">
        <v>21</v>
      </c>
      <c r="E14" s="3">
        <v>92</v>
      </c>
      <c r="F14" s="3">
        <v>432</v>
      </c>
      <c r="G14" s="3">
        <v>548</v>
      </c>
      <c r="H14" s="3">
        <v>446</v>
      </c>
      <c r="I14" s="3">
        <v>243</v>
      </c>
      <c r="J14" s="5" t="str" cm="1">
        <f t="array" ref="J14">TRIM(INDEX(C$4:I$4,MATCH(MIN(IFERROR(C14:I14,"")),C14:I14,0)))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522</v>
      </c>
      <c r="D15" s="6" t="s">
        <v>21</v>
      </c>
      <c r="E15" s="3">
        <v>201</v>
      </c>
      <c r="F15" s="3">
        <v>944</v>
      </c>
      <c r="G15" s="3">
        <v>896</v>
      </c>
      <c r="H15" s="3">
        <v>954</v>
      </c>
      <c r="I15" s="3">
        <v>509</v>
      </c>
      <c r="J15" s="5" t="str" cm="1">
        <f t="array" ref="J15">TRIM(INDEX(C$4:I$4,MATCH(MIN(IFERROR(C15:I15,"")),C15:I15,0)))</f>
        <v>Scripting Dictionary (early-binded)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1038</v>
      </c>
      <c r="D16" s="6" t="s">
        <v>21</v>
      </c>
      <c r="E16" s="3">
        <v>394</v>
      </c>
      <c r="F16" s="3">
        <v>1945</v>
      </c>
      <c r="G16" s="3">
        <v>1971</v>
      </c>
      <c r="H16" s="3">
        <v>1996</v>
      </c>
      <c r="I16" s="3">
        <v>1164</v>
      </c>
      <c r="J16" s="5" t="str" cm="1">
        <f t="array" ref="J16">TRIM(INDEX(C$4:I$4,MATCH(MIN(IFERROR(C16:I16,"")),C16:I16,0)))</f>
        <v>Scripting Dictionary (early-binded)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2106</v>
      </c>
      <c r="D17" s="6" t="s">
        <v>21</v>
      </c>
      <c r="E17" s="3">
        <v>828</v>
      </c>
      <c r="F17" s="3">
        <v>4106</v>
      </c>
      <c r="G17" s="3">
        <v>4274</v>
      </c>
      <c r="H17" s="3">
        <v>4190</v>
      </c>
      <c r="I17" s="3">
        <v>2005</v>
      </c>
      <c r="J17" s="5" t="str" cm="1">
        <f t="array" ref="J17">TRIM(INDEX(C$4:I$4,MATCH(MIN(IFERROR(C17:I17,"")),C17:I17,0)))</f>
        <v>Scripting Dictionary (early-binded)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4073</v>
      </c>
      <c r="D18" s="6" t="s">
        <v>21</v>
      </c>
      <c r="E18" s="3">
        <v>1736</v>
      </c>
      <c r="F18" s="3">
        <v>7752</v>
      </c>
      <c r="G18" s="3">
        <v>7701</v>
      </c>
      <c r="H18" s="3">
        <v>7552</v>
      </c>
      <c r="I18" s="3">
        <v>3635</v>
      </c>
      <c r="J18" s="5" t="str" cm="1">
        <f t="array" ref="J18">TRIM(INDEX(C$4:I$4,MATCH(MIN(IFERROR(C18:I18,"")),C18:I18,0)))</f>
        <v>Scripting Dictionary (early-binded)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9139</v>
      </c>
      <c r="D19" s="6" t="s">
        <v>21</v>
      </c>
      <c r="E19" s="3">
        <v>5154</v>
      </c>
      <c r="F19" s="3">
        <v>15813</v>
      </c>
      <c r="G19" s="3">
        <v>16283</v>
      </c>
      <c r="H19" s="3">
        <v>17167</v>
      </c>
      <c r="I19" s="3">
        <v>8298</v>
      </c>
      <c r="J19" s="5" t="str" cm="1">
        <f t="array" ref="J19">TRIM(INDEX(C$4:I$4,MATCH(MIN(IFERROR(C19:I19,"")),C19:I19,0)))</f>
        <v>Scripting Dictionary (early-binded)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21620</v>
      </c>
      <c r="D20" s="6" t="s">
        <v>21</v>
      </c>
      <c r="E20" s="3">
        <v>13071</v>
      </c>
      <c r="F20" s="3">
        <v>38224</v>
      </c>
      <c r="G20" s="3">
        <v>33430</v>
      </c>
      <c r="H20" s="3">
        <v>35350</v>
      </c>
      <c r="I20" s="3">
        <v>17998</v>
      </c>
      <c r="J20" s="5" t="str" cm="1">
        <f t="array" ref="J20">TRIM(INDEX(C$4:I$4,MATCH(MIN(IFERROR(C20:I20,"")),C20:I20,0)))</f>
        <v>Scripting Dictionary (early-binded)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77838</v>
      </c>
      <c r="D21" s="6" t="s">
        <v>21</v>
      </c>
      <c r="E21" s="19">
        <v>53010</v>
      </c>
      <c r="F21" s="3">
        <v>93564</v>
      </c>
      <c r="G21" s="3">
        <v>69750</v>
      </c>
      <c r="H21" s="3">
        <v>75442</v>
      </c>
      <c r="I21" s="3">
        <v>39284</v>
      </c>
      <c r="J21" s="5" t="str" cm="1">
        <f t="array" ref="J21">TRIM(INDEX(C$4:I$4,MATCH(MIN(IFERROR(C21:I21,"")),C21:I21,0)))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>
        <v>281851</v>
      </c>
      <c r="D22" s="6" t="s">
        <v>21</v>
      </c>
      <c r="E22" s="19">
        <v>263375</v>
      </c>
      <c r="F22" s="3">
        <v>198720</v>
      </c>
      <c r="G22" s="3">
        <v>147174</v>
      </c>
      <c r="H22" s="3">
        <v>149050</v>
      </c>
      <c r="I22" s="3">
        <v>66078</v>
      </c>
      <c r="J22" s="5" t="str" cm="1">
        <f t="array" ref="J22">TRIM(INDEX(C$4:I$4,MATCH(MIN(IFERROR(C22:I22,"")),C22:I22,0)))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>
        <v>1080789</v>
      </c>
      <c r="D23" s="6" t="s">
        <v>21</v>
      </c>
      <c r="E23" s="19">
        <v>1027048</v>
      </c>
      <c r="F23" s="3">
        <v>445749</v>
      </c>
      <c r="G23" s="3">
        <v>257749</v>
      </c>
      <c r="H23" s="3">
        <v>283581</v>
      </c>
      <c r="I23" s="3">
        <v>132016</v>
      </c>
      <c r="J23" s="5" t="str" cm="1">
        <f t="array" ref="J23">TRIM(INDEX(C$4:I$4,MATCH(MIN(IFERROR(C23:I23,"")),C23:I23,0)))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>
        <v>6607128</v>
      </c>
      <c r="D24" s="6" t="s">
        <v>21</v>
      </c>
      <c r="E24" s="19">
        <v>7356331</v>
      </c>
      <c r="F24" s="3">
        <v>1551402</v>
      </c>
      <c r="G24" s="3">
        <v>570325</v>
      </c>
      <c r="H24" s="3">
        <v>621059</v>
      </c>
      <c r="I24" s="3">
        <v>289853</v>
      </c>
      <c r="J24" s="5" t="str" cm="1">
        <f t="array" ref="J24">TRIM(INDEX(C$4:I$4,MATCH(MIN(IFERROR(C24:I24,"")),C24:I24,0)))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 t="s">
        <v>21</v>
      </c>
      <c r="E25" s="19" t="s">
        <v>26</v>
      </c>
      <c r="F25" s="3">
        <v>5791209</v>
      </c>
      <c r="G25" s="3">
        <v>1195384</v>
      </c>
      <c r="H25" s="3">
        <v>1220490</v>
      </c>
      <c r="I25" s="3">
        <v>561050</v>
      </c>
      <c r="J25" s="5" t="str" cm="1">
        <f t="array" ref="J25">TRIM(INDEX(C$4:I$4,MATCH(MIN(IFERROR(C25:I25,"")),C25:I25,0)))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21</v>
      </c>
      <c r="E26" s="19" t="s">
        <v>26</v>
      </c>
      <c r="F26" s="19" t="s">
        <v>26</v>
      </c>
      <c r="G26" s="3">
        <v>2974074</v>
      </c>
      <c r="H26" s="3">
        <v>2892192</v>
      </c>
      <c r="I26" s="3">
        <v>1179988</v>
      </c>
      <c r="J26" s="5" t="str" cm="1">
        <f t="array" ref="J26">TRIM(INDEX(C$4:I$4,MATCH(MIN(IFERROR(C26:I26,"")),C26:I26,0)))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21</v>
      </c>
      <c r="E27" s="19" t="s">
        <v>26</v>
      </c>
      <c r="F27" s="19" t="s">
        <v>26</v>
      </c>
      <c r="G27" s="3">
        <v>7929164</v>
      </c>
      <c r="H27" s="3">
        <v>7930680</v>
      </c>
      <c r="I27" s="3">
        <v>2330565</v>
      </c>
      <c r="J27" s="5" t="str" cm="1">
        <f t="array" ref="J27">TRIM(INDEX(C$4:I$4,MATCH(MIN(IFERROR(C27:I27,"")),C27:I27,0)))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26</v>
      </c>
      <c r="D28" s="20" t="s">
        <v>21</v>
      </c>
      <c r="E28" s="19" t="s">
        <v>26</v>
      </c>
      <c r="F28" s="19" t="s">
        <v>26</v>
      </c>
      <c r="G28" s="3">
        <v>23231766</v>
      </c>
      <c r="H28" s="3">
        <v>23277125</v>
      </c>
      <c r="I28" s="3">
        <v>4849408</v>
      </c>
      <c r="J28" s="5" t="str" cm="1">
        <f t="array" ref="J28">TRIM(INDEX(C$4:I$4,MATCH(MIN(IFERROR(C28:I28,"")),C28:I28,0)))</f>
        <v>Dictionary (50% load)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26</v>
      </c>
      <c r="D29" s="22" t="s">
        <v>21</v>
      </c>
      <c r="E29" s="23" t="s">
        <v>26</v>
      </c>
      <c r="F29" s="23" t="s">
        <v>26</v>
      </c>
      <c r="G29" s="13">
        <v>76454743</v>
      </c>
      <c r="H29" s="13">
        <v>77965579</v>
      </c>
      <c r="I29" s="13">
        <v>9908531</v>
      </c>
      <c r="J29" s="14" t="str" cm="1">
        <f t="array" ref="J29">TRIM(INDEX(C$4:I$4,MATCH(MIN(IFERROR(C29:I29,"")),C29:I29,0)))</f>
        <v>Dictionary (50% load)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7DF23-D602-487A-B693-8B9964462981}">
  <sheetPr codeName="Sheet9"/>
  <dimension ref="A1:S38"/>
  <sheetViews>
    <sheetView showGridLines="0" zoomScale="85" zoomScaleNormal="85" workbookViewId="0">
      <selection activeCell="M5" sqref="M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24</v>
      </c>
      <c r="C1" t="str">
        <f>KeyType</f>
        <v>Text (len 40-60, text compare, ASCII)</v>
      </c>
    </row>
    <row r="2" spans="1:19" x14ac:dyDescent="0.25">
      <c r="B2" t="s">
        <v>23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25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4</v>
      </c>
      <c r="D5" s="6" t="s">
        <v>21</v>
      </c>
      <c r="E5" s="3">
        <v>6</v>
      </c>
      <c r="F5" s="3" t="s">
        <v>21</v>
      </c>
      <c r="G5" s="3" t="s">
        <v>21</v>
      </c>
      <c r="H5" s="3" t="s">
        <v>21</v>
      </c>
      <c r="I5" s="3">
        <v>5</v>
      </c>
      <c r="J5" s="5" t="str" cm="1">
        <f t="array" ref="J5">TRIM(INDEX(C$4:I$4,MATCH(MIN(IFERROR(C5:I5,"")),C5:I5,0)))</f>
        <v>Tim Hall's VBA-Dictionary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4</v>
      </c>
      <c r="D6" s="6" t="s">
        <v>21</v>
      </c>
      <c r="E6" s="3">
        <v>11</v>
      </c>
      <c r="F6" s="3" t="s">
        <v>21</v>
      </c>
      <c r="G6" s="3" t="s">
        <v>21</v>
      </c>
      <c r="H6" s="3" t="s">
        <v>21</v>
      </c>
      <c r="I6" s="3">
        <v>6</v>
      </c>
      <c r="J6" s="5" t="str" cm="1">
        <f t="array" ref="J6">TRIM(INDEX(C$4:I$4,MATCH(MIN(IFERROR(C6:I6,"")),C6:I6,0)))</f>
        <v>Tim Hall's VBA-Dictionary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6</v>
      </c>
      <c r="D7" s="6" t="s">
        <v>21</v>
      </c>
      <c r="E7" s="3">
        <v>12</v>
      </c>
      <c r="F7" s="3" t="s">
        <v>21</v>
      </c>
      <c r="G7" s="3" t="s">
        <v>21</v>
      </c>
      <c r="H7" s="3" t="s">
        <v>21</v>
      </c>
      <c r="I7" s="3">
        <v>8</v>
      </c>
      <c r="J7" s="5" t="str" cm="1">
        <f t="array" ref="J7">TRIM(INDEX(C$4:I$4,MATCH(MIN(IFERROR(C7:I7,"")),C7:I7,0)))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8</v>
      </c>
      <c r="D8" s="6" t="s">
        <v>21</v>
      </c>
      <c r="E8" s="3">
        <v>5</v>
      </c>
      <c r="F8" s="3" t="s">
        <v>21</v>
      </c>
      <c r="G8" s="3" t="s">
        <v>21</v>
      </c>
      <c r="H8" s="3" t="s">
        <v>21</v>
      </c>
      <c r="I8" s="3">
        <v>12</v>
      </c>
      <c r="J8" s="5" t="str" cm="1">
        <f t="array" ref="J8">TRIM(INDEX(C$4:I$4,MATCH(MIN(IFERROR(C8:I8,"")),C8:I8,0)))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13</v>
      </c>
      <c r="D9" s="6" t="s">
        <v>21</v>
      </c>
      <c r="E9" s="3">
        <v>10</v>
      </c>
      <c r="F9" s="3" t="s">
        <v>21</v>
      </c>
      <c r="G9" s="3" t="s">
        <v>21</v>
      </c>
      <c r="H9" s="3" t="s">
        <v>21</v>
      </c>
      <c r="I9" s="3">
        <v>21</v>
      </c>
      <c r="J9" s="5" t="str" cm="1">
        <f t="array" ref="J9">TRIM(INDEX(C$4:I$4,MATCH(MIN(IFERROR(C9:I9,"")),C9:I9,0)))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24</v>
      </c>
      <c r="D10" s="6" t="s">
        <v>21</v>
      </c>
      <c r="E10" s="3">
        <v>15</v>
      </c>
      <c r="F10" s="3" t="s">
        <v>21</v>
      </c>
      <c r="G10" s="3" t="s">
        <v>21</v>
      </c>
      <c r="H10" s="3" t="s">
        <v>21</v>
      </c>
      <c r="I10" s="3">
        <v>39</v>
      </c>
      <c r="J10" s="5" t="str" cm="1">
        <f t="array" ref="J10">TRIM(INDEX(C$4:I$4,MATCH(MIN(IFERROR(C10:I10,"")),C10:I10,0)))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41</v>
      </c>
      <c r="D11" s="6" t="s">
        <v>21</v>
      </c>
      <c r="E11" s="3">
        <v>22</v>
      </c>
      <c r="F11" s="3" t="s">
        <v>21</v>
      </c>
      <c r="G11" s="3" t="s">
        <v>21</v>
      </c>
      <c r="H11" s="3" t="s">
        <v>21</v>
      </c>
      <c r="I11" s="3">
        <v>80</v>
      </c>
      <c r="J11" s="5" t="str" cm="1">
        <f t="array" ref="J11">TRIM(INDEX(C$4:I$4,MATCH(MIN(IFERROR(C11:I11,"")),C11:I11,0)))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72</v>
      </c>
      <c r="D12" s="6" t="s">
        <v>21</v>
      </c>
      <c r="E12" s="3">
        <v>63</v>
      </c>
      <c r="F12" s="3" t="s">
        <v>21</v>
      </c>
      <c r="G12" s="3" t="s">
        <v>21</v>
      </c>
      <c r="H12" s="3" t="s">
        <v>21</v>
      </c>
      <c r="I12" s="3">
        <v>149</v>
      </c>
      <c r="J12" s="5" t="str" cm="1">
        <f t="array" ref="J12">TRIM(INDEX(C$4:I$4,MATCH(MIN(IFERROR(C12:I12,"")),C12:I12,0)))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170</v>
      </c>
      <c r="D13" s="6" t="s">
        <v>21</v>
      </c>
      <c r="E13" s="3">
        <v>77</v>
      </c>
      <c r="F13" s="3" t="s">
        <v>21</v>
      </c>
      <c r="G13" s="3" t="s">
        <v>21</v>
      </c>
      <c r="H13" s="3" t="s">
        <v>21</v>
      </c>
      <c r="I13" s="3">
        <v>277</v>
      </c>
      <c r="J13" s="5" t="str" cm="1">
        <f t="array" ref="J13">TRIM(INDEX(C$4:I$4,MATCH(MIN(IFERROR(C13:I13,"")),C13:I13,0)))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353</v>
      </c>
      <c r="D14" s="6" t="s">
        <v>21</v>
      </c>
      <c r="E14" s="3">
        <v>143</v>
      </c>
      <c r="F14" s="3" t="s">
        <v>21</v>
      </c>
      <c r="G14" s="3" t="s">
        <v>21</v>
      </c>
      <c r="H14" s="3" t="s">
        <v>21</v>
      </c>
      <c r="I14" s="3">
        <v>558</v>
      </c>
      <c r="J14" s="5" t="str" cm="1">
        <f t="array" ref="J14">TRIM(INDEX(C$4:I$4,MATCH(MIN(IFERROR(C14:I14,"")),C14:I14,0)))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695</v>
      </c>
      <c r="D15" s="6" t="s">
        <v>21</v>
      </c>
      <c r="E15" s="3">
        <v>302</v>
      </c>
      <c r="F15" s="3" t="s">
        <v>21</v>
      </c>
      <c r="G15" s="3" t="s">
        <v>21</v>
      </c>
      <c r="H15" s="3" t="s">
        <v>21</v>
      </c>
      <c r="I15" s="3">
        <v>1094</v>
      </c>
      <c r="J15" s="5" t="str" cm="1">
        <f t="array" ref="J15">TRIM(INDEX(C$4:I$4,MATCH(MIN(IFERROR(C15:I15,"")),C15:I15,0)))</f>
        <v>Scripting Dictionary (early-binded)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1395</v>
      </c>
      <c r="D16" s="6" t="s">
        <v>21</v>
      </c>
      <c r="E16" s="3">
        <v>628</v>
      </c>
      <c r="F16" s="3" t="s">
        <v>21</v>
      </c>
      <c r="G16" s="3" t="s">
        <v>21</v>
      </c>
      <c r="H16" s="3" t="s">
        <v>21</v>
      </c>
      <c r="I16" s="3">
        <v>2807</v>
      </c>
      <c r="J16" s="5" t="str" cm="1">
        <f t="array" ref="J16">TRIM(INDEX(C$4:I$4,MATCH(MIN(IFERROR(C16:I16,"")),C16:I16,0)))</f>
        <v>Scripting Dictionary (early-binded)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3020</v>
      </c>
      <c r="D17" s="6" t="s">
        <v>21</v>
      </c>
      <c r="E17" s="3">
        <v>1393</v>
      </c>
      <c r="F17" s="3" t="s">
        <v>21</v>
      </c>
      <c r="G17" s="3" t="s">
        <v>21</v>
      </c>
      <c r="H17" s="3" t="s">
        <v>21</v>
      </c>
      <c r="I17" s="3">
        <v>6398</v>
      </c>
      <c r="J17" s="5" t="str" cm="1">
        <f t="array" ref="J17">TRIM(INDEX(C$4:I$4,MATCH(MIN(IFERROR(C17:I17,"")),C17:I17,0)))</f>
        <v>Scripting Dictionary (early-binded)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6140</v>
      </c>
      <c r="D18" s="6" t="s">
        <v>21</v>
      </c>
      <c r="E18" s="3">
        <v>3503</v>
      </c>
      <c r="F18" s="3" t="s">
        <v>21</v>
      </c>
      <c r="G18" s="3" t="s">
        <v>21</v>
      </c>
      <c r="H18" s="3" t="s">
        <v>21</v>
      </c>
      <c r="I18" s="3">
        <v>9222</v>
      </c>
      <c r="J18" s="5" t="str" cm="1">
        <f t="array" ref="J18">TRIM(INDEX(C$4:I$4,MATCH(MIN(IFERROR(C18:I18,"")),C18:I18,0)))</f>
        <v>Scripting Dictionary (early-binded)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15371</v>
      </c>
      <c r="D19" s="6" t="s">
        <v>21</v>
      </c>
      <c r="E19" s="3">
        <v>12186</v>
      </c>
      <c r="F19" s="3" t="s">
        <v>21</v>
      </c>
      <c r="G19" s="3" t="s">
        <v>21</v>
      </c>
      <c r="H19" s="3" t="s">
        <v>21</v>
      </c>
      <c r="I19" s="3">
        <v>18967</v>
      </c>
      <c r="J19" s="5" t="str" cm="1">
        <f t="array" ref="J19">TRIM(INDEX(C$4:I$4,MATCH(MIN(IFERROR(C19:I19,"")),C19:I19,0)))</f>
        <v>Scripting Dictionary (early-binded)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43959</v>
      </c>
      <c r="D20" s="6" t="s">
        <v>21</v>
      </c>
      <c r="E20" s="3">
        <v>43419</v>
      </c>
      <c r="F20" s="3" t="s">
        <v>21</v>
      </c>
      <c r="G20" s="3" t="s">
        <v>21</v>
      </c>
      <c r="H20" s="3" t="s">
        <v>21</v>
      </c>
      <c r="I20" s="3">
        <v>41495</v>
      </c>
      <c r="J20" s="5" t="str" cm="1">
        <f t="array" ref="J20">TRIM(INDEX(C$4:I$4,MATCH(MIN(IFERROR(C20:I20,"")),C20:I20,0)))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200050</v>
      </c>
      <c r="D21" s="6" t="s">
        <v>21</v>
      </c>
      <c r="E21" s="19">
        <v>180925</v>
      </c>
      <c r="F21" s="3" t="s">
        <v>21</v>
      </c>
      <c r="G21" s="3" t="s">
        <v>21</v>
      </c>
      <c r="H21" s="3" t="s">
        <v>21</v>
      </c>
      <c r="I21" s="3">
        <v>83949</v>
      </c>
      <c r="J21" s="5" t="str" cm="1">
        <f t="array" ref="J21">TRIM(INDEX(C$4:I$4,MATCH(MIN(IFERROR(C21:I21,"")),C21:I21,0)))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>
        <v>1021441</v>
      </c>
      <c r="D22" s="6" t="s">
        <v>21</v>
      </c>
      <c r="E22" s="19">
        <v>960653</v>
      </c>
      <c r="F22" s="3" t="s">
        <v>21</v>
      </c>
      <c r="G22" s="3" t="s">
        <v>21</v>
      </c>
      <c r="H22" s="3" t="s">
        <v>21</v>
      </c>
      <c r="I22" s="3">
        <v>155715</v>
      </c>
      <c r="J22" s="5" t="str" cm="1">
        <f t="array" ref="J22">TRIM(INDEX(C$4:I$4,MATCH(MIN(IFERROR(C22:I22,"")),C22:I22,0)))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>
        <v>5700628</v>
      </c>
      <c r="D23" s="6" t="s">
        <v>21</v>
      </c>
      <c r="E23" s="19">
        <v>5382971</v>
      </c>
      <c r="F23" s="3" t="s">
        <v>21</v>
      </c>
      <c r="G23" s="3" t="s">
        <v>21</v>
      </c>
      <c r="H23" s="3" t="s">
        <v>21</v>
      </c>
      <c r="I23" s="3">
        <v>316970</v>
      </c>
      <c r="J23" s="5" t="str" cm="1">
        <f t="array" ref="J23">TRIM(INDEX(C$4:I$4,MATCH(MIN(IFERROR(C23:I23,"")),C23:I23,0)))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>
        <v>35162838</v>
      </c>
      <c r="D24" s="6" t="s">
        <v>21</v>
      </c>
      <c r="E24" s="19">
        <v>35952653</v>
      </c>
      <c r="F24" s="3" t="s">
        <v>21</v>
      </c>
      <c r="G24" s="3" t="s">
        <v>21</v>
      </c>
      <c r="H24" s="3" t="s">
        <v>21</v>
      </c>
      <c r="I24" s="3">
        <v>667831</v>
      </c>
      <c r="J24" s="5" t="str" cm="1">
        <f t="array" ref="J24">TRIM(INDEX(C$4:I$4,MATCH(MIN(IFERROR(C24:I24,"")),C24:I24,0)))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 t="s">
        <v>21</v>
      </c>
      <c r="E25" s="19" t="s">
        <v>26</v>
      </c>
      <c r="F25" s="3" t="s">
        <v>21</v>
      </c>
      <c r="G25" s="3" t="s">
        <v>21</v>
      </c>
      <c r="H25" s="3" t="s">
        <v>21</v>
      </c>
      <c r="I25" s="3">
        <v>1317430</v>
      </c>
      <c r="J25" s="5" t="str" cm="1">
        <f t="array" ref="J25">TRIM(INDEX(C$4:I$4,MATCH(MIN(IFERROR(C25:I25,"")),C25:I25,0)))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21</v>
      </c>
      <c r="E26" s="19" t="s">
        <v>26</v>
      </c>
      <c r="F26" s="3" t="s">
        <v>21</v>
      </c>
      <c r="G26" s="3" t="s">
        <v>21</v>
      </c>
      <c r="H26" s="3" t="s">
        <v>21</v>
      </c>
      <c r="I26" s="3">
        <v>2699606</v>
      </c>
      <c r="J26" s="5" t="str" cm="1">
        <f t="array" ref="J26">TRIM(INDEX(C$4:I$4,MATCH(MIN(IFERROR(C26:I26,"")),C26:I26,0)))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21</v>
      </c>
      <c r="E27" s="19" t="s">
        <v>26</v>
      </c>
      <c r="F27" s="19" t="s">
        <v>21</v>
      </c>
      <c r="G27" s="3" t="s">
        <v>21</v>
      </c>
      <c r="H27" s="3" t="s">
        <v>21</v>
      </c>
      <c r="I27" s="3">
        <v>5312085</v>
      </c>
      <c r="J27" s="5" t="str" cm="1">
        <f t="array" ref="J27">TRIM(INDEX(C$4:I$4,MATCH(MIN(IFERROR(C27:I27,"")),C27:I27,0)))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26</v>
      </c>
      <c r="D28" s="20" t="s">
        <v>21</v>
      </c>
      <c r="E28" s="19" t="s">
        <v>26</v>
      </c>
      <c r="F28" s="19" t="s">
        <v>21</v>
      </c>
      <c r="G28" s="3" t="s">
        <v>21</v>
      </c>
      <c r="H28" s="3" t="s">
        <v>21</v>
      </c>
      <c r="I28" s="3">
        <v>11127354</v>
      </c>
      <c r="J28" s="5" t="str" cm="1">
        <f t="array" ref="J28">TRIM(INDEX(C$4:I$4,MATCH(MIN(IFERROR(C28:I28,"")),C28:I28,0)))</f>
        <v>Dictionary (50% load)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26</v>
      </c>
      <c r="D29" s="22" t="s">
        <v>21</v>
      </c>
      <c r="E29" s="23" t="s">
        <v>26</v>
      </c>
      <c r="F29" s="23" t="s">
        <v>21</v>
      </c>
      <c r="G29" s="13" t="s">
        <v>21</v>
      </c>
      <c r="H29" s="13" t="s">
        <v>21</v>
      </c>
      <c r="I29" s="13">
        <v>22778621</v>
      </c>
      <c r="J29" s="14" t="str" cm="1">
        <f t="array" ref="J29">TRIM(INDEX(C$4:I$4,MATCH(MIN(IFERROR(C29:I29,"")),C29:I29,0)))</f>
        <v>Dictionary (50% load)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4A2F1-3EBE-4AAB-B9EA-2001FDF578F8}">
  <sheetPr codeName="Sheet10"/>
  <dimension ref="A1:S38"/>
  <sheetViews>
    <sheetView showGridLines="0" zoomScale="85" zoomScaleNormal="85" workbookViewId="0">
      <selection activeCell="M5" sqref="M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24</v>
      </c>
      <c r="C1" t="str">
        <f>KeyType</f>
        <v>Text (len 40-60, text compare, ASCII)</v>
      </c>
    </row>
    <row r="2" spans="1:19" x14ac:dyDescent="0.25">
      <c r="B2" t="s">
        <v>23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22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25</v>
      </c>
      <c r="J4" s="11" t="s">
        <v>0</v>
      </c>
    </row>
    <row r="5" spans="1:19" x14ac:dyDescent="0.25">
      <c r="A5" s="15" t="s">
        <v>8</v>
      </c>
      <c r="B5" s="4">
        <v>1</v>
      </c>
      <c r="C5" s="4" t="s">
        <v>21</v>
      </c>
      <c r="D5" s="6" t="s">
        <v>21</v>
      </c>
      <c r="E5" s="3">
        <v>491</v>
      </c>
      <c r="F5" s="3" t="s">
        <v>21</v>
      </c>
      <c r="G5" s="3" t="s">
        <v>21</v>
      </c>
      <c r="H5" s="3" t="s">
        <v>21</v>
      </c>
      <c r="I5" s="3">
        <v>40</v>
      </c>
      <c r="J5" s="5" t="str" cm="1">
        <f t="array" ref="J5">TRIM(INDEX(C$4:I$4,MATCH(MIN(IFERROR(C5:I5,"")),C5:I5,0)))</f>
        <v>Dictionary (50%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 t="s">
        <v>21</v>
      </c>
      <c r="D6" s="6" t="s">
        <v>21</v>
      </c>
      <c r="E6" s="3">
        <v>323</v>
      </c>
      <c r="F6" s="3" t="s">
        <v>21</v>
      </c>
      <c r="G6" s="3" t="s">
        <v>21</v>
      </c>
      <c r="H6" s="3" t="s">
        <v>21</v>
      </c>
      <c r="I6" s="3">
        <v>37</v>
      </c>
      <c r="J6" s="5" t="str" cm="1">
        <f t="array" ref="J6">TRIM(INDEX(C$4:I$4,MATCH(MIN(IFERROR(C6:I6,"")),C6:I6,0)))</f>
        <v>Dictionary (50% load)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 t="s">
        <v>21</v>
      </c>
      <c r="D7" s="6" t="s">
        <v>21</v>
      </c>
      <c r="E7" s="3">
        <v>359</v>
      </c>
      <c r="F7" s="3" t="s">
        <v>21</v>
      </c>
      <c r="G7" s="3" t="s">
        <v>21</v>
      </c>
      <c r="H7" s="3" t="s">
        <v>21</v>
      </c>
      <c r="I7" s="3">
        <v>38</v>
      </c>
      <c r="J7" s="5" t="str" cm="1">
        <f t="array" ref="J7">TRIM(INDEX(C$4:I$4,MATCH(MIN(IFERROR(C7:I7,"")),C7:I7,0)))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 t="s">
        <v>21</v>
      </c>
      <c r="D8" s="6" t="s">
        <v>21</v>
      </c>
      <c r="E8" s="3">
        <v>486</v>
      </c>
      <c r="F8" s="3" t="s">
        <v>21</v>
      </c>
      <c r="G8" s="3" t="s">
        <v>21</v>
      </c>
      <c r="H8" s="3" t="s">
        <v>21</v>
      </c>
      <c r="I8" s="3">
        <v>37</v>
      </c>
      <c r="J8" s="5" t="str" cm="1">
        <f t="array" ref="J8">TRIM(INDEX(C$4:I$4,MATCH(MIN(IFERROR(C8:I8,"")),C8:I8,0)))</f>
        <v>Dictionary (50%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 t="s">
        <v>21</v>
      </c>
      <c r="D9" s="6" t="s">
        <v>21</v>
      </c>
      <c r="E9" s="3">
        <v>496</v>
      </c>
      <c r="F9" s="3" t="s">
        <v>21</v>
      </c>
      <c r="G9" s="3" t="s">
        <v>21</v>
      </c>
      <c r="H9" s="3" t="s">
        <v>21</v>
      </c>
      <c r="I9" s="3">
        <v>40</v>
      </c>
      <c r="J9" s="5" t="str" cm="1">
        <f t="array" ref="J9">TRIM(INDEX(C$4:I$4,MATCH(MIN(IFERROR(C9:I9,"")),C9:I9,0)))</f>
        <v>Dictionary (50% load)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 t="s">
        <v>21</v>
      </c>
      <c r="D10" s="6" t="s">
        <v>21</v>
      </c>
      <c r="E10" s="3">
        <v>371</v>
      </c>
      <c r="F10" s="3" t="s">
        <v>21</v>
      </c>
      <c r="G10" s="3" t="s">
        <v>21</v>
      </c>
      <c r="H10" s="3" t="s">
        <v>21</v>
      </c>
      <c r="I10" s="3">
        <v>41</v>
      </c>
      <c r="J10" s="5" t="str" cm="1">
        <f t="array" ref="J10">TRIM(INDEX(C$4:I$4,MATCH(MIN(IFERROR(C10:I10,"")),C10:I10,0)))</f>
        <v>Dictionary (50% load)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 t="s">
        <v>21</v>
      </c>
      <c r="D11" s="6" t="s">
        <v>21</v>
      </c>
      <c r="E11" s="3">
        <v>543</v>
      </c>
      <c r="F11" s="3" t="s">
        <v>21</v>
      </c>
      <c r="G11" s="3" t="s">
        <v>21</v>
      </c>
      <c r="H11" s="3" t="s">
        <v>21</v>
      </c>
      <c r="I11" s="3">
        <v>48</v>
      </c>
      <c r="J11" s="5" t="str" cm="1">
        <f t="array" ref="J11">TRIM(INDEX(C$4:I$4,MATCH(MIN(IFERROR(C11:I11,"")),C11:I11,0)))</f>
        <v>Dictionary (50% load)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 t="s">
        <v>21</v>
      </c>
      <c r="D12" s="6" t="s">
        <v>21</v>
      </c>
      <c r="E12" s="3">
        <v>562</v>
      </c>
      <c r="F12" s="3" t="s">
        <v>21</v>
      </c>
      <c r="G12" s="3" t="s">
        <v>21</v>
      </c>
      <c r="H12" s="3" t="s">
        <v>21</v>
      </c>
      <c r="I12" s="3">
        <v>44</v>
      </c>
      <c r="J12" s="5" t="str" cm="1">
        <f t="array" ref="J12">TRIM(INDEX(C$4:I$4,MATCH(MIN(IFERROR(C12:I12,"")),C12:I12,0)))</f>
        <v>Dictionary (50% load)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 t="s">
        <v>21</v>
      </c>
      <c r="D13" s="6" t="s">
        <v>21</v>
      </c>
      <c r="E13" s="3">
        <v>556</v>
      </c>
      <c r="F13" s="3" t="s">
        <v>21</v>
      </c>
      <c r="G13" s="3" t="s">
        <v>21</v>
      </c>
      <c r="H13" s="3" t="s">
        <v>21</v>
      </c>
      <c r="I13" s="3">
        <v>58</v>
      </c>
      <c r="J13" s="5" t="str" cm="1">
        <f t="array" ref="J13">TRIM(INDEX(C$4:I$4,MATCH(MIN(IFERROR(C13:I13,"")),C13:I13,0)))</f>
        <v>Dictionary (50% load)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 t="s">
        <v>21</v>
      </c>
      <c r="D14" s="6" t="s">
        <v>21</v>
      </c>
      <c r="E14" s="3">
        <v>570</v>
      </c>
      <c r="F14" s="3" t="s">
        <v>21</v>
      </c>
      <c r="G14" s="3" t="s">
        <v>21</v>
      </c>
      <c r="H14" s="3" t="s">
        <v>21</v>
      </c>
      <c r="I14" s="3">
        <v>63</v>
      </c>
      <c r="J14" s="5" t="str" cm="1">
        <f t="array" ref="J14">TRIM(INDEX(C$4:I$4,MATCH(MIN(IFERROR(C14:I14,"")),C14:I14,0)))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 t="s">
        <v>21</v>
      </c>
      <c r="D15" s="6" t="s">
        <v>21</v>
      </c>
      <c r="E15" s="3">
        <v>559</v>
      </c>
      <c r="F15" s="3" t="s">
        <v>21</v>
      </c>
      <c r="G15" s="3" t="s">
        <v>21</v>
      </c>
      <c r="H15" s="3" t="s">
        <v>21</v>
      </c>
      <c r="I15" s="3">
        <v>87</v>
      </c>
      <c r="J15" s="5" t="str" cm="1">
        <f t="array" ref="J15">TRIM(INDEX(C$4:I$4,MATCH(MIN(IFERROR(C15:I15,"")),C15:I15,0)))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 t="s">
        <v>21</v>
      </c>
      <c r="D16" s="6" t="s">
        <v>21</v>
      </c>
      <c r="E16" s="3">
        <v>767</v>
      </c>
      <c r="F16" s="3" t="s">
        <v>21</v>
      </c>
      <c r="G16" s="3" t="s">
        <v>21</v>
      </c>
      <c r="H16" s="3" t="s">
        <v>21</v>
      </c>
      <c r="I16" s="3">
        <v>189</v>
      </c>
      <c r="J16" s="5" t="str" cm="1">
        <f t="array" ref="J16">TRIM(INDEX(C$4:I$4,MATCH(MIN(IFERROR(C16:I16,"")),C16:I16,0)))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 t="s">
        <v>21</v>
      </c>
      <c r="D17" s="6" t="s">
        <v>21</v>
      </c>
      <c r="E17" s="3">
        <v>817</v>
      </c>
      <c r="F17" s="3" t="s">
        <v>21</v>
      </c>
      <c r="G17" s="3" t="s">
        <v>21</v>
      </c>
      <c r="H17" s="3" t="s">
        <v>21</v>
      </c>
      <c r="I17" s="3">
        <v>296</v>
      </c>
      <c r="J17" s="5" t="str" cm="1">
        <f t="array" ref="J17">TRIM(INDEX(C$4:I$4,MATCH(MIN(IFERROR(C17:I17,"")),C17:I17,0)))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 t="s">
        <v>21</v>
      </c>
      <c r="D18" s="6" t="s">
        <v>21</v>
      </c>
      <c r="E18" s="3">
        <v>857</v>
      </c>
      <c r="F18" s="3" t="s">
        <v>21</v>
      </c>
      <c r="G18" s="3" t="s">
        <v>21</v>
      </c>
      <c r="H18" s="3" t="s">
        <v>21</v>
      </c>
      <c r="I18" s="3">
        <v>455</v>
      </c>
      <c r="J18" s="5" t="str" cm="1">
        <f t="array" ref="J18">TRIM(INDEX(C$4:I$4,MATCH(MIN(IFERROR(C18:I18,"")),C18:I18,0)))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 t="s">
        <v>21</v>
      </c>
      <c r="D19" s="6" t="s">
        <v>21</v>
      </c>
      <c r="E19" s="3">
        <v>1203</v>
      </c>
      <c r="F19" s="3" t="s">
        <v>21</v>
      </c>
      <c r="G19" s="3" t="s">
        <v>21</v>
      </c>
      <c r="H19" s="3" t="s">
        <v>21</v>
      </c>
      <c r="I19" s="3">
        <v>1067</v>
      </c>
      <c r="J19" s="5" t="str" cm="1">
        <f t="array" ref="J19">TRIM(INDEX(C$4:I$4,MATCH(MIN(IFERROR(C19:I19,"")),C19:I19,0)))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 t="s">
        <v>21</v>
      </c>
      <c r="D20" s="6" t="s">
        <v>21</v>
      </c>
      <c r="E20" s="3">
        <v>2072</v>
      </c>
      <c r="F20" s="3" t="s">
        <v>21</v>
      </c>
      <c r="G20" s="3" t="s">
        <v>21</v>
      </c>
      <c r="H20" s="3" t="s">
        <v>21</v>
      </c>
      <c r="I20" s="3">
        <v>2283</v>
      </c>
      <c r="J20" s="5" t="str" cm="1">
        <f t="array" ref="J20">TRIM(INDEX(C$4:I$4,MATCH(MIN(IFERROR(C20:I20,"")),C20:I20,0)))</f>
        <v>Scripting Dictionary (early-binded)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 t="s">
        <v>21</v>
      </c>
      <c r="D21" s="6" t="s">
        <v>21</v>
      </c>
      <c r="E21" s="19">
        <v>3771</v>
      </c>
      <c r="F21" s="3" t="s">
        <v>21</v>
      </c>
      <c r="G21" s="3" t="s">
        <v>21</v>
      </c>
      <c r="H21" s="3" t="s">
        <v>21</v>
      </c>
      <c r="I21" s="3">
        <v>4599</v>
      </c>
      <c r="J21" s="5" t="str" cm="1">
        <f t="array" ref="J21">TRIM(INDEX(C$4:I$4,MATCH(MIN(IFERROR(C21:I21,"")),C21:I21,0)))</f>
        <v>Scripting Dictionary (early-binded)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21</v>
      </c>
      <c r="D22" s="6" t="s">
        <v>21</v>
      </c>
      <c r="E22" s="19">
        <v>7534</v>
      </c>
      <c r="F22" s="3" t="s">
        <v>21</v>
      </c>
      <c r="G22" s="3" t="s">
        <v>21</v>
      </c>
      <c r="H22" s="3" t="s">
        <v>21</v>
      </c>
      <c r="I22" s="3">
        <v>8489</v>
      </c>
      <c r="J22" s="5" t="str" cm="1">
        <f t="array" ref="J22">TRIM(INDEX(C$4:I$4,MATCH(MIN(IFERROR(C22:I22,"")),C22:I22,0)))</f>
        <v>Scripting Dictionary (early-binded)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21</v>
      </c>
      <c r="D23" s="6" t="s">
        <v>21</v>
      </c>
      <c r="E23" s="19">
        <v>15329</v>
      </c>
      <c r="F23" s="3" t="s">
        <v>21</v>
      </c>
      <c r="G23" s="3" t="s">
        <v>21</v>
      </c>
      <c r="H23" s="3" t="s">
        <v>21</v>
      </c>
      <c r="I23" s="3">
        <v>16351</v>
      </c>
      <c r="J23" s="5" t="str" cm="1">
        <f t="array" ref="J23">TRIM(INDEX(C$4:I$4,MATCH(MIN(IFERROR(C23:I23,"")),C23:I23,0)))</f>
        <v>Scripting Dictionary (early-binded)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21</v>
      </c>
      <c r="D24" s="6" t="s">
        <v>21</v>
      </c>
      <c r="E24" s="19">
        <v>32005</v>
      </c>
      <c r="F24" s="3" t="s">
        <v>21</v>
      </c>
      <c r="G24" s="3" t="s">
        <v>21</v>
      </c>
      <c r="H24" s="3" t="s">
        <v>21</v>
      </c>
      <c r="I24" s="3">
        <v>33089</v>
      </c>
      <c r="J24" s="5" t="str" cm="1">
        <f t="array" ref="J24">TRIM(INDEX(C$4:I$4,MATCH(MIN(IFERROR(C24:I24,"")),C24:I24,0)))</f>
        <v>Scripting Dictionary (early-binded)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21</v>
      </c>
      <c r="D25" s="6" t="s">
        <v>21</v>
      </c>
      <c r="E25" s="19" t="s">
        <v>26</v>
      </c>
      <c r="F25" s="3" t="s">
        <v>21</v>
      </c>
      <c r="G25" s="3" t="s">
        <v>21</v>
      </c>
      <c r="H25" s="3" t="s">
        <v>21</v>
      </c>
      <c r="I25" s="3">
        <v>66005</v>
      </c>
      <c r="J25" s="5" t="str" cm="1">
        <f t="array" ref="J25">TRIM(INDEX(C$4:I$4,MATCH(MIN(IFERROR(C25:I25,"")),C25:I25,0)))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21</v>
      </c>
      <c r="D26" s="20" t="s">
        <v>21</v>
      </c>
      <c r="E26" s="19" t="s">
        <v>26</v>
      </c>
      <c r="F26" s="3" t="s">
        <v>21</v>
      </c>
      <c r="G26" s="3" t="s">
        <v>21</v>
      </c>
      <c r="H26" s="3" t="s">
        <v>21</v>
      </c>
      <c r="I26" s="3">
        <v>128685</v>
      </c>
      <c r="J26" s="5" t="str" cm="1">
        <f t="array" ref="J26">TRIM(INDEX(C$4:I$4,MATCH(MIN(IFERROR(C26:I26,"")),C26:I26,0)))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21</v>
      </c>
      <c r="D27" s="20" t="s">
        <v>21</v>
      </c>
      <c r="E27" s="19" t="s">
        <v>26</v>
      </c>
      <c r="F27" s="19" t="s">
        <v>21</v>
      </c>
      <c r="G27" s="3" t="s">
        <v>21</v>
      </c>
      <c r="H27" s="3" t="s">
        <v>21</v>
      </c>
      <c r="I27" s="3">
        <v>256610</v>
      </c>
      <c r="J27" s="5" t="str" cm="1">
        <f t="array" ref="J27">TRIM(INDEX(C$4:I$4,MATCH(MIN(IFERROR(C27:I27,"")),C27:I27,0)))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21</v>
      </c>
      <c r="D28" s="20" t="s">
        <v>21</v>
      </c>
      <c r="E28" s="19" t="s">
        <v>26</v>
      </c>
      <c r="F28" s="19" t="s">
        <v>21</v>
      </c>
      <c r="G28" s="3" t="s">
        <v>21</v>
      </c>
      <c r="H28" s="3" t="s">
        <v>21</v>
      </c>
      <c r="I28" s="3">
        <v>533550</v>
      </c>
      <c r="J28" s="5" t="str" cm="1">
        <f t="array" ref="J28">TRIM(INDEX(C$4:I$4,MATCH(MIN(IFERROR(C28:I28,"")),C28:I28,0)))</f>
        <v>Dictionary (50% load)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21</v>
      </c>
      <c r="D29" s="22" t="s">
        <v>21</v>
      </c>
      <c r="E29" s="23" t="s">
        <v>26</v>
      </c>
      <c r="F29" s="23" t="s">
        <v>21</v>
      </c>
      <c r="G29" s="13" t="s">
        <v>21</v>
      </c>
      <c r="H29" s="13" t="s">
        <v>21</v>
      </c>
      <c r="I29" s="13">
        <v>1049534</v>
      </c>
      <c r="J29" s="14" t="str" cm="1">
        <f t="array" ref="J29">TRIM(INDEX(C$4:I$4,MATCH(MIN(IFERROR(C29:I29,"")),C29:I29,0)))</f>
        <v>Dictionary (50% load)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7CB5D-4420-4FC5-85D8-773F724F76F1}">
  <sheetPr codeName="Sheet11"/>
  <dimension ref="A1:S38"/>
  <sheetViews>
    <sheetView showGridLines="0" zoomScale="85" zoomScaleNormal="85" workbookViewId="0">
      <selection activeCell="O15" sqref="O1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24</v>
      </c>
      <c r="C1" t="str">
        <f>KeyType</f>
        <v>Text (len 40-60, text compare, ASCII)</v>
      </c>
    </row>
    <row r="2" spans="1:19" x14ac:dyDescent="0.25">
      <c r="B2" t="s">
        <v>23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25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5</v>
      </c>
      <c r="D5" s="6">
        <v>6</v>
      </c>
      <c r="E5" s="3">
        <v>9</v>
      </c>
      <c r="F5" s="3">
        <v>4</v>
      </c>
      <c r="G5" s="3">
        <v>3</v>
      </c>
      <c r="H5" s="3">
        <v>3</v>
      </c>
      <c r="I5" s="3">
        <v>5</v>
      </c>
      <c r="J5" s="5" t="str" cm="1">
        <f t="array" ref="J5">TRIM(INDEX(C$4:I$4,MATCH(MIN(IFERROR(C5:I5,"")),C5:I5,0)))</f>
        <v>cHashD
(predict 10%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6</v>
      </c>
      <c r="D6" s="6">
        <v>6</v>
      </c>
      <c r="E6" s="3">
        <v>6</v>
      </c>
      <c r="F6" s="3">
        <v>5</v>
      </c>
      <c r="G6" s="3">
        <v>6</v>
      </c>
      <c r="H6" s="3">
        <v>5</v>
      </c>
      <c r="I6" s="3">
        <v>15</v>
      </c>
      <c r="J6" s="5" t="str" cm="1">
        <f t="array" ref="J6">TRIM(INDEX(C$4:I$4,MATCH(MIN(IFERROR(C6:I6,"")),C6:I6,0)))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7</v>
      </c>
      <c r="D7" s="6">
        <v>7</v>
      </c>
      <c r="E7" s="3">
        <v>6</v>
      </c>
      <c r="F7" s="3">
        <v>6</v>
      </c>
      <c r="G7" s="3">
        <v>6</v>
      </c>
      <c r="H7" s="3">
        <v>6</v>
      </c>
      <c r="I7" s="3">
        <v>19</v>
      </c>
      <c r="J7" s="5" t="str" cm="1">
        <f t="array" ref="J7">TRIM(INDEX(C$4:I$4,MATCH(MIN(IFERROR(C7:I7,"")),C7:I7,0)))</f>
        <v>Scripting Dictionary (early-binded)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13</v>
      </c>
      <c r="D8" s="6">
        <v>18</v>
      </c>
      <c r="E8" s="3">
        <v>6</v>
      </c>
      <c r="F8" s="3">
        <v>10</v>
      </c>
      <c r="G8" s="3">
        <v>10</v>
      </c>
      <c r="H8" s="3">
        <v>10</v>
      </c>
      <c r="I8" s="3">
        <v>19</v>
      </c>
      <c r="J8" s="5" t="str" cm="1">
        <f t="array" ref="J8">TRIM(INDEX(C$4:I$4,MATCH(MIN(IFERROR(C8:I8,"")),C8:I8,0)))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20</v>
      </c>
      <c r="D9" s="6">
        <v>12</v>
      </c>
      <c r="E9" s="3">
        <v>10</v>
      </c>
      <c r="F9" s="3">
        <v>20</v>
      </c>
      <c r="G9" s="3">
        <v>20</v>
      </c>
      <c r="H9" s="3">
        <v>19</v>
      </c>
      <c r="I9" s="3">
        <v>27</v>
      </c>
      <c r="J9" s="5" t="str" cm="1">
        <f t="array" ref="J9">TRIM(INDEX(C$4:I$4,MATCH(MIN(IFERROR(C9:I9,"")),C9:I9,0)))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45</v>
      </c>
      <c r="D10" s="6">
        <v>22</v>
      </c>
      <c r="E10" s="3">
        <v>15</v>
      </c>
      <c r="F10" s="3">
        <v>40</v>
      </c>
      <c r="G10" s="3">
        <v>33</v>
      </c>
      <c r="H10" s="3">
        <v>36</v>
      </c>
      <c r="I10" s="3">
        <v>38</v>
      </c>
      <c r="J10" s="5" t="str" cm="1">
        <f t="array" ref="J10">TRIM(INDEX(C$4:I$4,MATCH(MIN(IFERROR(C10:I10,"")),C10:I10,0)))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76</v>
      </c>
      <c r="D11" s="6">
        <v>42</v>
      </c>
      <c r="E11" s="3">
        <v>23</v>
      </c>
      <c r="F11" s="3">
        <v>71</v>
      </c>
      <c r="G11" s="3">
        <v>65</v>
      </c>
      <c r="H11" s="3">
        <v>65</v>
      </c>
      <c r="I11" s="3">
        <v>62</v>
      </c>
      <c r="J11" s="5" t="str" cm="1">
        <f t="array" ref="J11">TRIM(INDEX(C$4:I$4,MATCH(MIN(IFERROR(C11:I11,"")),C11:I11,0)))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132</v>
      </c>
      <c r="D12" s="6">
        <v>69</v>
      </c>
      <c r="E12" s="3">
        <v>32</v>
      </c>
      <c r="F12" s="3">
        <v>169</v>
      </c>
      <c r="G12" s="3">
        <v>118</v>
      </c>
      <c r="H12" s="3">
        <v>120</v>
      </c>
      <c r="I12" s="3">
        <v>99</v>
      </c>
      <c r="J12" s="5" t="str" cm="1">
        <f t="array" ref="J12">TRIM(INDEX(C$4:I$4,MATCH(MIN(IFERROR(C12:I12,"")),C12:I12,0)))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319</v>
      </c>
      <c r="D13" s="6">
        <v>156</v>
      </c>
      <c r="E13" s="3">
        <v>73</v>
      </c>
      <c r="F13" s="3">
        <v>250</v>
      </c>
      <c r="G13" s="3">
        <v>233</v>
      </c>
      <c r="H13" s="3">
        <v>261</v>
      </c>
      <c r="I13" s="3">
        <v>190</v>
      </c>
      <c r="J13" s="5" t="str" cm="1">
        <f t="array" ref="J13">TRIM(INDEX(C$4:I$4,MATCH(MIN(IFERROR(C13:I13,"")),C13:I13,0)))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622</v>
      </c>
      <c r="D14" s="6">
        <v>401</v>
      </c>
      <c r="E14" s="3">
        <v>179</v>
      </c>
      <c r="F14" s="3">
        <v>668</v>
      </c>
      <c r="G14" s="3">
        <v>577</v>
      </c>
      <c r="H14" s="3">
        <v>548</v>
      </c>
      <c r="I14" s="3">
        <v>357</v>
      </c>
      <c r="J14" s="5" t="str" cm="1">
        <f t="array" ref="J14">TRIM(INDEX(C$4:I$4,MATCH(MIN(IFERROR(C14:I14,"")),C14:I14,0)))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1333</v>
      </c>
      <c r="D15" s="6">
        <v>603</v>
      </c>
      <c r="E15" s="3">
        <v>247</v>
      </c>
      <c r="F15" s="3">
        <v>1114</v>
      </c>
      <c r="G15" s="3">
        <v>991</v>
      </c>
      <c r="H15" s="3">
        <v>1024</v>
      </c>
      <c r="I15" s="3">
        <v>798</v>
      </c>
      <c r="J15" s="5" t="str" cm="1">
        <f t="array" ref="J15">TRIM(INDEX(C$4:I$4,MATCH(MIN(IFERROR(C15:I15,"")),C15:I15,0)))</f>
        <v>Scripting Dictionary (early-binded)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2523</v>
      </c>
      <c r="D16" s="6">
        <v>1763</v>
      </c>
      <c r="E16" s="3">
        <v>513</v>
      </c>
      <c r="F16" s="3">
        <v>2408</v>
      </c>
      <c r="G16" s="3">
        <v>2472</v>
      </c>
      <c r="H16" s="3">
        <v>2249</v>
      </c>
      <c r="I16" s="3">
        <v>2325</v>
      </c>
      <c r="J16" s="5" t="str" cm="1">
        <f t="array" ref="J16">TRIM(INDEX(C$4:I$4,MATCH(MIN(IFERROR(C16:I16,"")),C16:I16,0)))</f>
        <v>Scripting Dictionary (early-binded)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4884</v>
      </c>
      <c r="D17" s="6">
        <v>3702</v>
      </c>
      <c r="E17" s="3">
        <v>1063</v>
      </c>
      <c r="F17" s="3">
        <v>4386</v>
      </c>
      <c r="G17" s="3">
        <v>4664</v>
      </c>
      <c r="H17" s="3">
        <v>4491</v>
      </c>
      <c r="I17" s="3">
        <v>3946</v>
      </c>
      <c r="J17" s="5" t="str" cm="1">
        <f t="array" ref="J17">TRIM(INDEX(C$4:I$4,MATCH(MIN(IFERROR(C17:I17,"")),C17:I17,0)))</f>
        <v>Scripting Dictionary (early-binded)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9724</v>
      </c>
      <c r="D18" s="6">
        <v>7064</v>
      </c>
      <c r="E18" s="3">
        <v>2389</v>
      </c>
      <c r="F18" s="3">
        <v>8665</v>
      </c>
      <c r="G18" s="3">
        <v>8676</v>
      </c>
      <c r="H18" s="3">
        <v>8256</v>
      </c>
      <c r="I18" s="3">
        <v>6935</v>
      </c>
      <c r="J18" s="5" t="str" cm="1">
        <f t="array" ref="J18">TRIM(INDEX(C$4:I$4,MATCH(MIN(IFERROR(C18:I18,"")),C18:I18,0)))</f>
        <v>Scripting Dictionary (early-binded)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20716</v>
      </c>
      <c r="D19" s="6">
        <v>17413</v>
      </c>
      <c r="E19" s="3">
        <v>5703</v>
      </c>
      <c r="F19" s="3">
        <v>17372</v>
      </c>
      <c r="G19" s="3">
        <v>17804</v>
      </c>
      <c r="H19" s="3">
        <v>20079</v>
      </c>
      <c r="I19" s="3">
        <v>12987</v>
      </c>
      <c r="J19" s="5" t="str" cm="1">
        <f t="array" ref="J19">TRIM(INDEX(C$4:I$4,MATCH(MIN(IFERROR(C19:I19,"")),C19:I19,0)))</f>
        <v>Scripting Dictionary (early-binded)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43391</v>
      </c>
      <c r="D20" s="6">
        <v>38668</v>
      </c>
      <c r="E20" s="3">
        <v>16255</v>
      </c>
      <c r="F20" s="3">
        <v>39578</v>
      </c>
      <c r="G20" s="3">
        <v>37289</v>
      </c>
      <c r="H20" s="3">
        <v>39503</v>
      </c>
      <c r="I20" s="3">
        <v>26599</v>
      </c>
      <c r="J20" s="5" t="str" cm="1">
        <f t="array" ref="J20">TRIM(INDEX(C$4:I$4,MATCH(MIN(IFERROR(C20:I20,"")),C20:I20,0)))</f>
        <v>Scripting Dictionary (early-binded)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119095</v>
      </c>
      <c r="D21" s="6">
        <v>98654</v>
      </c>
      <c r="E21" s="19">
        <v>60032</v>
      </c>
      <c r="F21" s="3">
        <v>94760</v>
      </c>
      <c r="G21" s="3">
        <v>78092</v>
      </c>
      <c r="H21" s="3">
        <v>80982</v>
      </c>
      <c r="I21" s="3">
        <v>52564</v>
      </c>
      <c r="J21" s="5" t="str" cm="1">
        <f t="array" ref="J21">TRIM(INDEX(C$4:I$4,MATCH(MIN(IFERROR(C21:I21,"")),C21:I21,0)))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>
        <v>411743</v>
      </c>
      <c r="D22" s="6">
        <v>232507</v>
      </c>
      <c r="E22" s="19">
        <v>206814</v>
      </c>
      <c r="F22" s="3">
        <v>179352</v>
      </c>
      <c r="G22" s="3">
        <v>165659</v>
      </c>
      <c r="H22" s="3">
        <v>150716</v>
      </c>
      <c r="I22" s="3">
        <v>97886</v>
      </c>
      <c r="J22" s="5" t="str" cm="1">
        <f t="array" ref="J22">TRIM(INDEX(C$4:I$4,MATCH(MIN(IFERROR(C22:I22,"")),C22:I22,0)))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>
        <v>1348360</v>
      </c>
      <c r="D23" s="6">
        <v>442167</v>
      </c>
      <c r="E23" s="19">
        <v>1019103</v>
      </c>
      <c r="F23" s="3">
        <v>344386</v>
      </c>
      <c r="G23" s="3">
        <v>280258</v>
      </c>
      <c r="H23" s="3">
        <v>283582</v>
      </c>
      <c r="I23" s="3">
        <v>188278</v>
      </c>
      <c r="J23" s="5" t="str" cm="1">
        <f t="array" ref="J23">TRIM(INDEX(C$4:I$4,MATCH(MIN(IFERROR(C23:I23,"")),C23:I23,0)))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>
        <v>7768624</v>
      </c>
      <c r="D24" s="6">
        <v>1041992</v>
      </c>
      <c r="E24" s="19">
        <v>7429848</v>
      </c>
      <c r="F24" s="3">
        <v>840822</v>
      </c>
      <c r="G24" s="3">
        <v>586576</v>
      </c>
      <c r="H24" s="3">
        <v>603297</v>
      </c>
      <c r="I24" s="3">
        <v>404963</v>
      </c>
      <c r="J24" s="5" t="str" cm="1">
        <f t="array" ref="J24">TRIM(INDEX(C$4:I$4,MATCH(MIN(IFERROR(C24:I24,"")),C24:I24,0)))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>
        <v>2542277</v>
      </c>
      <c r="E25" s="19" t="s">
        <v>26</v>
      </c>
      <c r="F25" s="3">
        <v>2143751</v>
      </c>
      <c r="G25" s="3">
        <v>1174225</v>
      </c>
      <c r="H25" s="3">
        <v>1158696</v>
      </c>
      <c r="I25" s="3">
        <v>807787</v>
      </c>
      <c r="J25" s="5" t="str" cm="1">
        <f t="array" ref="J25">TRIM(INDEX(C$4:I$4,MATCH(MIN(IFERROR(C25:I25,"")),C25:I25,0)))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26</v>
      </c>
      <c r="F26" s="19" t="s">
        <v>26</v>
      </c>
      <c r="G26" s="3">
        <v>2491577</v>
      </c>
      <c r="H26" s="3">
        <v>2461673</v>
      </c>
      <c r="I26" s="3">
        <v>1632782</v>
      </c>
      <c r="J26" s="5" t="str" cm="1">
        <f t="array" ref="J26">TRIM(INDEX(C$4:I$4,MATCH(MIN(IFERROR(C26:I26,"")),C26:I26,0)))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26</v>
      </c>
      <c r="F27" s="19" t="s">
        <v>26</v>
      </c>
      <c r="G27" s="3">
        <v>5314264</v>
      </c>
      <c r="H27" s="3">
        <v>5323967</v>
      </c>
      <c r="I27" s="3">
        <v>3262586</v>
      </c>
      <c r="J27" s="5" t="str" cm="1">
        <f t="array" ref="J27">TRIM(INDEX(C$4:I$4,MATCH(MIN(IFERROR(C27:I27,"")),C27:I27,0)))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26</v>
      </c>
      <c r="D28" s="20" t="s">
        <v>26</v>
      </c>
      <c r="E28" s="19" t="s">
        <v>26</v>
      </c>
      <c r="F28" s="19" t="s">
        <v>26</v>
      </c>
      <c r="G28" s="3">
        <v>12254377</v>
      </c>
      <c r="H28" s="3">
        <v>12294985</v>
      </c>
      <c r="I28" s="3">
        <v>6644244</v>
      </c>
      <c r="J28" s="5" t="str" cm="1">
        <f t="array" ref="J28">TRIM(INDEX(C$4:I$4,MATCH(MIN(IFERROR(C28:I28,"")),C28:I28,0)))</f>
        <v>Dictionary (50% load)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26</v>
      </c>
      <c r="D29" s="22" t="s">
        <v>26</v>
      </c>
      <c r="E29" s="23" t="s">
        <v>26</v>
      </c>
      <c r="F29" s="23" t="s">
        <v>26</v>
      </c>
      <c r="G29" s="13">
        <v>29491115</v>
      </c>
      <c r="H29" s="13">
        <v>30261494</v>
      </c>
      <c r="I29" s="13">
        <v>13316544</v>
      </c>
      <c r="J29" s="14" t="str" cm="1">
        <f t="array" ref="J29">TRIM(INDEX(C$4:I$4,MATCH(MIN(IFERROR(C29:I29,"")),C29:I29,0)))</f>
        <v>Dictionary (50% load)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B3970-133F-42AB-9888-066B9C258CA7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2024-04-09T09:53:25Z</dcterms:modified>
</cp:coreProperties>
</file>